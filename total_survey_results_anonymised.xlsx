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mc:AlternateContent xmlns:mc="http://schemas.openxmlformats.org/markup-compatibility/2006">
    <mc:Choice Requires="x15">
      <x15ac:absPath xmlns:x15ac="http://schemas.microsoft.com/office/spreadsheetml/2010/11/ac" url="/Users/giadapantana/Downloads/"/>
    </mc:Choice>
  </mc:AlternateContent>
  <xr:revisionPtr revIDLastSave="43" documentId="13_ncr:1_{AF4935A1-C00D-D34D-8D49-6117E165B4A4}" xr6:coauthVersionLast="47" xr6:coauthVersionMax="47" xr10:uidLastSave="{2B04D5DD-AF93-4C6D-86FD-608FB1F8571F}"/>
  <bookViews>
    <workbookView xWindow="0" yWindow="740" windowWidth="28280" windowHeight="18380" firstSheet="1" activeTab="1" xr2:uid="{00000000-000D-0000-FFFF-FFFF00000000}"/>
  </bookViews>
  <sheets>
    <sheet name="all_answers" sheetId="1" r:id="rId1"/>
    <sheet name="Results" sheetId="2" r:id="rId2"/>
  </sheets>
  <definedNames>
    <definedName name="_xlnm._FilterDatabase" localSheetId="0" hidden="1">all_answers!$B$1:$U$44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2" l="1"/>
  <c r="K3" i="2"/>
  <c r="K2" i="2"/>
  <c r="N5" i="2"/>
  <c r="N4" i="2"/>
  <c r="N3" i="2"/>
  <c r="N2" i="2"/>
  <c r="K13" i="2"/>
  <c r="K5" i="2"/>
  <c r="K16" i="2"/>
  <c r="K15" i="2"/>
  <c r="K14" i="2"/>
  <c r="K11" i="2"/>
  <c r="K12" i="2"/>
  <c r="K10" i="2"/>
  <c r="K9" i="2"/>
  <c r="K8" i="2"/>
  <c r="K7" i="2"/>
  <c r="K6" i="2"/>
  <c r="H2" i="2"/>
  <c r="AI13" i="2"/>
  <c r="AI12" i="2"/>
  <c r="AI11" i="2"/>
  <c r="AI10" i="2"/>
  <c r="AI9" i="2"/>
  <c r="AI8" i="2"/>
  <c r="AI7" i="2"/>
  <c r="AI6" i="2"/>
  <c r="AI5" i="2"/>
  <c r="AI4" i="2"/>
  <c r="AI3" i="2"/>
  <c r="AI15" i="2"/>
  <c r="AI2" i="2"/>
  <c r="AI14" i="2"/>
  <c r="AF3" i="2"/>
  <c r="AF4" i="2"/>
  <c r="AF5" i="2"/>
  <c r="AF6" i="2"/>
  <c r="AF7" i="2"/>
  <c r="AF8" i="2"/>
  <c r="AF9" i="2"/>
  <c r="AF10" i="2"/>
  <c r="AC10" i="2"/>
  <c r="AC9" i="2"/>
  <c r="AC8" i="2"/>
  <c r="AC7" i="2"/>
  <c r="AC6" i="2"/>
  <c r="AC5" i="2"/>
  <c r="AC4" i="2"/>
  <c r="AC3" i="2"/>
  <c r="AC2" i="2"/>
  <c r="Z5" i="2"/>
  <c r="Z10" i="2"/>
  <c r="Z9" i="2"/>
  <c r="Z8" i="2"/>
  <c r="Z7" i="2"/>
  <c r="Z6" i="2"/>
  <c r="Z4" i="2"/>
  <c r="Z3" i="2"/>
  <c r="Z2" i="2"/>
  <c r="AF2" i="2"/>
  <c r="W7" i="2"/>
  <c r="W2" i="2"/>
  <c r="W3" i="2"/>
  <c r="W4" i="2"/>
  <c r="W5" i="2"/>
  <c r="W6" i="2"/>
  <c r="T4" i="2"/>
  <c r="T2" i="2"/>
  <c r="T3" i="2"/>
  <c r="T6" i="2"/>
  <c r="Q2" i="2"/>
  <c r="Q3" i="2"/>
  <c r="H3" i="2"/>
  <c r="H4" i="2" s="1"/>
  <c r="Z11" i="2"/>
  <c r="B3" i="2"/>
  <c r="B2" i="2"/>
  <c r="T5" i="2"/>
  <c r="E5" i="2"/>
  <c r="E2" i="2"/>
  <c r="E4" i="2"/>
  <c r="E3" i="2"/>
  <c r="E6" i="2"/>
  <c r="AI16" i="2" l="1"/>
  <c r="AI19" i="2"/>
  <c r="AJ14" i="2"/>
  <c r="AJ2" i="2"/>
  <c r="AJ15" i="2"/>
  <c r="AJ3" i="2"/>
  <c r="AJ4" i="2"/>
  <c r="AJ5" i="2"/>
  <c r="AJ6" i="2"/>
  <c r="AJ7" i="2"/>
  <c r="AJ8" i="2"/>
  <c r="AJ9" i="2"/>
  <c r="AJ10" i="2"/>
  <c r="AJ11" i="2"/>
  <c r="AJ12" i="2"/>
  <c r="AJ13" i="2"/>
  <c r="AJ20" i="2"/>
  <c r="AF11" i="2"/>
  <c r="AF19" i="2" s="1"/>
  <c r="AA3" i="2"/>
  <c r="AA4" i="2"/>
  <c r="AA5" i="2"/>
  <c r="AA6" i="2"/>
  <c r="AA7" i="2"/>
  <c r="AA8" i="2"/>
  <c r="AA9" i="2"/>
  <c r="AA10" i="2"/>
  <c r="AA2" i="2"/>
  <c r="T7" i="2"/>
  <c r="K17" i="2"/>
  <c r="B4" i="2"/>
  <c r="Q4" i="2"/>
  <c r="E7" i="2"/>
  <c r="N6" i="2"/>
  <c r="W8" i="2"/>
  <c r="AJ21" i="2" l="1"/>
  <c r="AJ22" i="2"/>
  <c r="AJ23" i="2"/>
  <c r="AJ24" i="2"/>
  <c r="AJ25" i="2"/>
  <c r="AJ26" i="2"/>
  <c r="AJ27" i="2"/>
  <c r="AJ28" i="2"/>
  <c r="AJ29" i="2"/>
  <c r="AJ30" i="2"/>
  <c r="AG2" i="2"/>
  <c r="AG10" i="2"/>
  <c r="AG9" i="2"/>
  <c r="AG8" i="2"/>
  <c r="AG7" i="2"/>
  <c r="AG6" i="2"/>
  <c r="AG5" i="2"/>
  <c r="AG4" i="2"/>
  <c r="AG3" i="2"/>
  <c r="X6" i="2"/>
  <c r="X5" i="2"/>
  <c r="X4" i="2"/>
  <c r="X3" i="2"/>
  <c r="X2" i="2"/>
  <c r="X7" i="2"/>
  <c r="U6" i="2"/>
  <c r="U5" i="2"/>
  <c r="U4" i="2"/>
  <c r="U3" i="2"/>
  <c r="U2" i="2"/>
  <c r="R3" i="2"/>
  <c r="R2" i="2"/>
  <c r="O2" i="2"/>
  <c r="O3" i="2"/>
  <c r="O5" i="2"/>
  <c r="O4" i="2"/>
  <c r="L4" i="2"/>
  <c r="L7" i="2"/>
  <c r="L14" i="2"/>
  <c r="L13" i="2"/>
  <c r="L11" i="2"/>
  <c r="L12" i="2"/>
  <c r="L3" i="2"/>
  <c r="L2" i="2"/>
  <c r="L6" i="2"/>
  <c r="L10" i="2"/>
  <c r="L8" i="2"/>
  <c r="L9" i="2"/>
  <c r="L5" i="2"/>
  <c r="L15" i="2"/>
  <c r="L16" i="2"/>
  <c r="F6" i="2"/>
  <c r="F3" i="2"/>
  <c r="F4" i="2"/>
  <c r="F2" i="2"/>
  <c r="F5" i="2"/>
  <c r="C2" i="2"/>
  <c r="C3" i="2"/>
  <c r="AG20" i="2" l="1"/>
  <c r="AG26" i="2"/>
  <c r="AG25" i="2"/>
  <c r="AG22" i="2"/>
  <c r="AG24" i="2"/>
  <c r="AG23" i="2"/>
  <c r="AG21" i="2"/>
  <c r="AC11" i="2"/>
  <c r="AD2" i="2" l="1"/>
  <c r="AD3" i="2"/>
  <c r="AD4" i="2"/>
  <c r="AD5" i="2"/>
  <c r="AD6" i="2"/>
  <c r="AD7" i="2"/>
  <c r="AD8" i="2"/>
  <c r="AD9" i="2"/>
  <c r="AD10" i="2"/>
  <c r="I2" i="2"/>
  <c r="I3" i="2"/>
</calcChain>
</file>

<file path=xl/sharedStrings.xml><?xml version="1.0" encoding="utf-8"?>
<sst xmlns="http://schemas.openxmlformats.org/spreadsheetml/2006/main" count="1006" uniqueCount="435">
  <si>
    <t>Respondent ID</t>
  </si>
  <si>
    <t>Public Administration (PA) or private company (PVT)</t>
  </si>
  <si>
    <t>Answer sent (Date/hour)</t>
  </si>
  <si>
    <t>Name (anonymised)</t>
  </si>
  <si>
    <t>Age range</t>
  </si>
  <si>
    <t>Mother Tongue</t>
  </si>
  <si>
    <t>Domain</t>
  </si>
  <si>
    <t>Domain tag (added by the researcher)</t>
  </si>
  <si>
    <t>Department tag (Added by the researcher)</t>
  </si>
  <si>
    <t>Work position</t>
  </si>
  <si>
    <t>Do you use translation tools in your working practice?</t>
  </si>
  <si>
    <t xml:space="preserve">If yes, which ones? </t>
  </si>
  <si>
    <t>What is your English level?</t>
  </si>
  <si>
    <t xml:space="preserve">What are your daily tasks? </t>
  </si>
  <si>
    <t>Daily tasks tag (added by the researcher)</t>
  </si>
  <si>
    <t>What types of text do you encounter in your daily work?</t>
  </si>
  <si>
    <t>Text types tag (added by the researcher)</t>
  </si>
  <si>
    <t xml:space="preserve">What objectives? </t>
  </si>
  <si>
    <t>Goals tags (added by the researcher)</t>
  </si>
  <si>
    <t>What challenges?</t>
  </si>
  <si>
    <t>Frustrations tags (added by the researcher)</t>
  </si>
  <si>
    <t>PA</t>
  </si>
  <si>
    <t>A</t>
  </si>
  <si>
    <t>50-59</t>
  </si>
  <si>
    <t>Catalan</t>
  </si>
  <si>
    <t>Sports (INEFC)</t>
  </si>
  <si>
    <t xml:space="preserve">Social policies (labour, sports, public affairs) </t>
  </si>
  <si>
    <t xml:space="preserve">Technical (economy, engineer, IT, sales) </t>
  </si>
  <si>
    <t>Senior Technician</t>
  </si>
  <si>
    <t>Yes</t>
  </si>
  <si>
    <t>Machine Translation (e.g. Google Translate, DeepL, other)</t>
  </si>
  <si>
    <t>Advanced</t>
  </si>
  <si>
    <t>None</t>
  </si>
  <si>
    <t>Related to research (reports, memos, emails, etc.)</t>
  </si>
  <si>
    <t>Technical/scientific</t>
  </si>
  <si>
    <t>=CONTA.SE('all_answers'!U:U; "</t>
  </si>
  <si>
    <t>B</t>
  </si>
  <si>
    <t>59-65</t>
  </si>
  <si>
    <t>Spanish</t>
  </si>
  <si>
    <t>Barcelona City Council</t>
  </si>
  <si>
    <t>Administration (demograhic services)</t>
  </si>
  <si>
    <t>Management&amp;leadership</t>
  </si>
  <si>
    <t>Head of Strategy Unit</t>
  </si>
  <si>
    <t>B2 (Upper-intermediate)</t>
  </si>
  <si>
    <t>Technical and popular science</t>
  </si>
  <si>
    <t>Technical/scientific,Written informal</t>
  </si>
  <si>
    <t>C</t>
  </si>
  <si>
    <t>Education </t>
  </si>
  <si>
    <t>Education</t>
  </si>
  <si>
    <t>Social (communicatiion, education, health, HR)</t>
  </si>
  <si>
    <t>Professor</t>
  </si>
  <si>
    <t>B1 (Intermediate)</t>
  </si>
  <si>
    <t>Expository and argumentative texts</t>
  </si>
  <si>
    <t>D</t>
  </si>
  <si>
    <t>Local Environmental Administration</t>
  </si>
  <si>
    <t>Head of Unit</t>
  </si>
  <si>
    <t>No</t>
  </si>
  <si>
    <t>A1 (Elementary)</t>
  </si>
  <si>
    <t>Administrative, technical</t>
  </si>
  <si>
    <t>Administrative,Technical/scientific</t>
  </si>
  <si>
    <t>E</t>
  </si>
  <si>
    <t>40-49</t>
  </si>
  <si>
    <t>Health</t>
  </si>
  <si>
    <t>Specialist Technician</t>
  </si>
  <si>
    <t>Scientific articles and materials from other countries</t>
  </si>
  <si>
    <t>F</t>
  </si>
  <si>
    <t>Department of Territory</t>
  </si>
  <si>
    <t>Infrastructures (transports)</t>
  </si>
  <si>
    <t>Project Manager</t>
  </si>
  <si>
    <t>Technical and administrative texts</t>
  </si>
  <si>
    <t>G</t>
  </si>
  <si>
    <t>Autonomous University of Barcelona</t>
  </si>
  <si>
    <t>Administration</t>
  </si>
  <si>
    <t>Dean's Secretary</t>
  </si>
  <si>
    <t>Formal and informal emails</t>
  </si>
  <si>
    <t>Letters (formal and informal)</t>
  </si>
  <si>
    <t>H</t>
  </si>
  <si>
    <t>Legal Department</t>
  </si>
  <si>
    <t>Law</t>
  </si>
  <si>
    <t>Lawyer</t>
  </si>
  <si>
    <t>Artificial intelligence (e.g. ChatGPT, Gemini, Claude, DeepSeek, etc.)</t>
  </si>
  <si>
    <t>Administrative/legal</t>
  </si>
  <si>
    <t>Administrative,Legal/economic</t>
  </si>
  <si>
    <t>I</t>
  </si>
  <si>
    <t>Green Infrastructure Environmental Management Office</t>
  </si>
  <si>
    <t>Environment</t>
  </si>
  <si>
    <t>Office Manager</t>
  </si>
  <si>
    <t xml:space="preserve">Technical documents in Catalan </t>
  </si>
  <si>
    <t>J</t>
  </si>
  <si>
    <t>Agriculture </t>
  </si>
  <si>
    <t>Agricultural Technical Engineer</t>
  </si>
  <si>
    <t>I normally use the translation for direct contact with a foreign user</t>
  </si>
  <si>
    <t>K</t>
  </si>
  <si>
    <t>Territory, Housing and Ecological Transition</t>
  </si>
  <si>
    <t>Technician</t>
  </si>
  <si>
    <t>Intranet linguistic tools</t>
  </si>
  <si>
    <t>Technical documents, projects, administrative documents</t>
  </si>
  <si>
    <t>L</t>
  </si>
  <si>
    <t>Department of Culture</t>
  </si>
  <si>
    <t>Culture</t>
  </si>
  <si>
    <t>Area Director</t>
  </si>
  <si>
    <t xml:space="preserve">Explanatory texts for training courses </t>
  </si>
  <si>
    <t>Education,Written informal</t>
  </si>
  <si>
    <t>14/10/2025 13.09.26</t>
  </si>
  <si>
    <t>M</t>
  </si>
  <si>
    <t>Italian</t>
  </si>
  <si>
    <t>Economy </t>
  </si>
  <si>
    <t>Economics</t>
  </si>
  <si>
    <t>Manager </t>
  </si>
  <si>
    <t xml:space="preserve">Administrative and accounting tasks </t>
  </si>
  <si>
    <t>administrative,economic</t>
  </si>
  <si>
    <t>Legal-Economic</t>
  </si>
  <si>
    <t>Legal/economic</t>
  </si>
  <si>
    <t>To research specialist terminology in relation to the texts to be translated.</t>
  </si>
  <si>
    <t>Terminology</t>
  </si>
  <si>
    <t>Selecting the most appropriate technical term</t>
  </si>
  <si>
    <t>22/10/2025 17.58.58</t>
  </si>
  <si>
    <t>N</t>
  </si>
  <si>
    <t>Finance Department</t>
  </si>
  <si>
    <t>Head </t>
  </si>
  <si>
    <t>A2 (Pre-intermediate)</t>
  </si>
  <si>
    <t xml:space="preserve">Financial management of the organisation, administrative documents </t>
  </si>
  <si>
    <t xml:space="preserve">Communications, business letters, administrative measures </t>
  </si>
  <si>
    <t>Administrative,Letters (formal and informal)</t>
  </si>
  <si>
    <t xml:space="preserve">I don't use this tool. </t>
  </si>
  <si>
    <t>Don't use</t>
  </si>
  <si>
    <t>I do not use this tool</t>
  </si>
  <si>
    <t>25/10/2025 9.03.10</t>
  </si>
  <si>
    <t>O</t>
  </si>
  <si>
    <t>Demographic Services </t>
  </si>
  <si>
    <t>Administrative Instructor </t>
  </si>
  <si>
    <t>Issuing documents and certificates</t>
  </si>
  <si>
    <t>administrative</t>
  </si>
  <si>
    <t xml:space="preserve">Certificates, applications, declarations </t>
  </si>
  <si>
    <t>Administrative</t>
  </si>
  <si>
    <t xml:space="preserve">To help my interlocutor understand what I am asking. </t>
  </si>
  <si>
    <t>Understand/be understood</t>
  </si>
  <si>
    <t>Verifying the accuracy of the translation based on context and end use</t>
  </si>
  <si>
    <t>Accuracy/gram,Verify translation</t>
  </si>
  <si>
    <t>25/10/2025 9.17.35</t>
  </si>
  <si>
    <t>P</t>
  </si>
  <si>
    <t>Municipal Public Relations Office</t>
  </si>
  <si>
    <t>Executive Clerk</t>
  </si>
  <si>
    <t>Public relations, facilitating access to municipal services</t>
  </si>
  <si>
    <t>correspondence (written and oral)</t>
  </si>
  <si>
    <t>Practical information for foreign citizens</t>
  </si>
  <si>
    <t>Written informal</t>
  </si>
  <si>
    <t>To give correct information to foreign citizens who come to our help desk.</t>
  </si>
  <si>
    <t>Accuracy/true/correctness</t>
  </si>
  <si>
    <t>I am not sure</t>
  </si>
  <si>
    <t>Don't know</t>
  </si>
  <si>
    <t>25/10/2025 9.17.56</t>
  </si>
  <si>
    <t>Q</t>
  </si>
  <si>
    <t>Public Administration </t>
  </si>
  <si>
    <t>Clerk </t>
  </si>
  <si>
    <t xml:space="preserve">Demographic services </t>
  </si>
  <si>
    <t>To understand properly.</t>
  </si>
  <si>
    <t>25/10/2025 9.50.46</t>
  </si>
  <si>
    <t>R</t>
  </si>
  <si>
    <t>Demographic Services</t>
  </si>
  <si>
    <t>Public Official</t>
  </si>
  <si>
    <t>CIE (Foreigners Identification Card), certificates, affidavits, residences, etc.</t>
  </si>
  <si>
    <t>Ministry forms</t>
  </si>
  <si>
    <t xml:space="preserve">I don't do it, but if I did, accuracy would be essential. </t>
  </si>
  <si>
    <t>Accuracy/true/correctness,Don't use</t>
  </si>
  <si>
    <t>I am not sure because I do not use machine translation</t>
  </si>
  <si>
    <t>25/10/2025 10.26.02</t>
  </si>
  <si>
    <t>S</t>
  </si>
  <si>
    <t>Organisational position </t>
  </si>
  <si>
    <t>Various</t>
  </si>
  <si>
    <t xml:space="preserve">Spoken </t>
  </si>
  <si>
    <t>Oral</t>
  </si>
  <si>
    <t>To interact with the public.</t>
  </si>
  <si>
    <t>Verifying accuracy</t>
  </si>
  <si>
    <t>25/10/2025 14.29.04</t>
  </si>
  <si>
    <t>T</t>
  </si>
  <si>
    <t>Local Authorities</t>
  </si>
  <si>
    <t>Administrative Instructor</t>
  </si>
  <si>
    <t>Administrative acts</t>
  </si>
  <si>
    <t>Texts in Italian</t>
  </si>
  <si>
    <t>I don't do machine translations</t>
  </si>
  <si>
    <t>I do not use machine translation</t>
  </si>
  <si>
    <t>25/10/2025 14.38.25</t>
  </si>
  <si>
    <t>U</t>
  </si>
  <si>
    <t>Local Health Authority</t>
  </si>
  <si>
    <t>Administrative Assistant </t>
  </si>
  <si>
    <t xml:space="preserve">Administrative </t>
  </si>
  <si>
    <t>Social report</t>
  </si>
  <si>
    <t>I don't do it</t>
  </si>
  <si>
    <t>It does not happen to me</t>
  </si>
  <si>
    <t>25/10/2025 16.34.36</t>
  </si>
  <si>
    <t>V</t>
  </si>
  <si>
    <t>30-39</t>
  </si>
  <si>
    <t>Registry Office</t>
  </si>
  <si>
    <t xml:space="preserve">Changes of residence </t>
  </si>
  <si>
    <t>Family applications</t>
  </si>
  <si>
    <t>That everything is accurate</t>
  </si>
  <si>
    <t>Some words are not translated</t>
  </si>
  <si>
    <t>Untranslated</t>
  </si>
  <si>
    <t>12/11/2025 17.15.03</t>
  </si>
  <si>
    <t>X</t>
  </si>
  <si>
    <t>Teacher</t>
  </si>
  <si>
    <t>Reading, comprehension and calculation activities</t>
  </si>
  <si>
    <t>educational</t>
  </si>
  <si>
    <t>Scientific</t>
  </si>
  <si>
    <t>Speed and ease of understanding</t>
  </si>
  <si>
    <t>Speed,Understand/be understood</t>
  </si>
  <si>
    <t>Some grammatical errors</t>
  </si>
  <si>
    <t>Accuracy/gram</t>
  </si>
  <si>
    <t>12/11/2025 18.09.16</t>
  </si>
  <si>
    <t>Y</t>
  </si>
  <si>
    <t>Security</t>
  </si>
  <si>
    <t>Defense</t>
  </si>
  <si>
    <t>Police Officer</t>
  </si>
  <si>
    <t>Immediate translation</t>
  </si>
  <si>
    <t>Speed</t>
  </si>
  <si>
    <t>I don't use it much</t>
  </si>
  <si>
    <t>12/11/2025 18.28.22</t>
  </si>
  <si>
    <t>Z</t>
  </si>
  <si>
    <t>Regional Ministry of Education of the Regional Government of Andalusia </t>
  </si>
  <si>
    <t xml:space="preserve">I look for information on social research </t>
  </si>
  <si>
    <t>scientific</t>
  </si>
  <si>
    <t>Research in English</t>
  </si>
  <si>
    <t>That my students understand the content of the documents so that they can reflect on them</t>
  </si>
  <si>
    <t>Sometimes the translation is not accurate</t>
  </si>
  <si>
    <t>13/11/2025 19.01.34</t>
  </si>
  <si>
    <t>AA</t>
  </si>
  <si>
    <t>User Support</t>
  </si>
  <si>
    <t>Head Official</t>
  </si>
  <si>
    <t>Tax refunds, tax certificates</t>
  </si>
  <si>
    <t>economic</t>
  </si>
  <si>
    <t>Certificates, applications</t>
  </si>
  <si>
    <t>To understand whether a document is suitable or not</t>
  </si>
  <si>
    <t>Overcoming problems in understanding technical terminology</t>
  </si>
  <si>
    <t>Terminology,Understand/be understood</t>
  </si>
  <si>
    <t>PVT</t>
  </si>
  <si>
    <t>14/11/2025 14.27.59</t>
  </si>
  <si>
    <t>AB</t>
  </si>
  <si>
    <t>Professional training</t>
  </si>
  <si>
    <t>Founder</t>
  </si>
  <si>
    <t>Training, marketing and planning</t>
  </si>
  <si>
    <t>educational,marketing</t>
  </si>
  <si>
    <t>Italian, which I sometimes translate into English</t>
  </si>
  <si>
    <t>I could translate it, but some technical terms are missing</t>
  </si>
  <si>
    <t>Some technical terms are missing</t>
  </si>
  <si>
    <t>15/11/2025 16.39.38</t>
  </si>
  <si>
    <t>AC</t>
  </si>
  <si>
    <t>Public Body </t>
  </si>
  <si>
    <t>Sight translation, Terminology research</t>
  </si>
  <si>
    <t>Administrative, promotional</t>
  </si>
  <si>
    <t>administrative,marketing</t>
  </si>
  <si>
    <t>Certificates and documents for abroad</t>
  </si>
  <si>
    <t>Comprehension</t>
  </si>
  <si>
    <t>Lack of context</t>
  </si>
  <si>
    <t>Context</t>
  </si>
  <si>
    <t>16/11/2025 22.40.24</t>
  </si>
  <si>
    <t>AD</t>
  </si>
  <si>
    <t>Programming</t>
  </si>
  <si>
    <t>All types</t>
  </si>
  <si>
    <t>All</t>
  </si>
  <si>
    <t>I look for information in English to obtain more information, images or icons</t>
  </si>
  <si>
    <t>Generation/information</t>
  </si>
  <si>
    <t>16/11/2025 10.19.33</t>
  </si>
  <si>
    <t>AE</t>
  </si>
  <si>
    <t>18-29</t>
  </si>
  <si>
    <t>Research &amp; Development</t>
  </si>
  <si>
    <t>IT</t>
  </si>
  <si>
    <t>Trainee in Language Technologies (Eurac Research)</t>
  </si>
  <si>
    <t>I am currently working on prototyping LLM and models trained in-house on spell checking of texts in German L2</t>
  </si>
  <si>
    <t>IT documentation</t>
  </si>
  <si>
    <t>To get an idea (even if only a rough one) of the meaning of a given text</t>
  </si>
  <si>
    <t>Terminological inconsistency</t>
  </si>
  <si>
    <t>AF</t>
  </si>
  <si>
    <t>Strategic Planning</t>
  </si>
  <si>
    <t>Technical</t>
  </si>
  <si>
    <t>Technician </t>
  </si>
  <si>
    <t>Definition, planning and evaluation of projects (in summary)</t>
  </si>
  <si>
    <t>management</t>
  </si>
  <si>
    <t>Administrative and technical documents, formal tone</t>
  </si>
  <si>
    <t>Normally, it is to check that the text in English or French is correct, or to rethink it</t>
  </si>
  <si>
    <t>Revision</t>
  </si>
  <si>
    <t xml:space="preserve">Sometimes it doesn't understand exactly what I want to convey </t>
  </si>
  <si>
    <t>AG</t>
  </si>
  <si>
    <t>Sales</t>
  </si>
  <si>
    <t>Marketing</t>
  </si>
  <si>
    <t>Company Administrator</t>
  </si>
  <si>
    <t>Communicating with clients and suppliers</t>
  </si>
  <si>
    <t>Specific to our sector</t>
  </si>
  <si>
    <t>To correct the text to explain myself better</t>
  </si>
  <si>
    <t xml:space="preserve">so that it is understood </t>
  </si>
  <si>
    <t>AH</t>
  </si>
  <si>
    <t>Street cleaning, waste collection and circular economy</t>
  </si>
  <si>
    <t>Working, reading</t>
  </si>
  <si>
    <t>technical</t>
  </si>
  <si>
    <t>Maps and charts</t>
  </si>
  <si>
    <t>Graphical</t>
  </si>
  <si>
    <t xml:space="preserve">I don't do it </t>
  </si>
  <si>
    <t>AI</t>
  </si>
  <si>
    <t>Production</t>
  </si>
  <si>
    <t>Industrial Director</t>
  </si>
  <si>
    <t>Planning production, installing machines...</t>
  </si>
  <si>
    <t>management,technical</t>
  </si>
  <si>
    <t>To translate manuals or correct emails from suppliers, clients or companies in other locations</t>
  </si>
  <si>
    <t>Correct grammatical composition</t>
  </si>
  <si>
    <t>19/11/2025 16.00.06</t>
  </si>
  <si>
    <t>AJ</t>
  </si>
  <si>
    <t>Digital marketing</t>
  </si>
  <si>
    <t>Digital Content Creator</t>
  </si>
  <si>
    <t>Bilingual</t>
  </si>
  <si>
    <t>Video editing, creation of advertising campaigns.</t>
  </si>
  <si>
    <t>management,marketing</t>
  </si>
  <si>
    <t>Various topics depending on the client.</t>
  </si>
  <si>
    <t>Ensure that the result is as faithful as possible to the meaning.</t>
  </si>
  <si>
    <t>Not knowing for sure if the result is adequate.</t>
  </si>
  <si>
    <t>19/11/2025 16.05.24</t>
  </si>
  <si>
    <t>AK</t>
  </si>
  <si>
    <t>Software engineering</t>
  </si>
  <si>
    <t>Senior</t>
  </si>
  <si>
    <t>Engineering and documentation</t>
  </si>
  <si>
    <t>administrative,technical</t>
  </si>
  <si>
    <t xml:space="preserve">Technical text </t>
  </si>
  <si>
    <t>Above all, correct</t>
  </si>
  <si>
    <t xml:space="preserve">That it conveys the ideas correctly </t>
  </si>
  <si>
    <t>19/11/2025 17.48.18</t>
  </si>
  <si>
    <t>AL</t>
  </si>
  <si>
    <t>Spanish/Catalan</t>
  </si>
  <si>
    <t>Biotechnology in the USA</t>
  </si>
  <si>
    <t>Human Resources and Operations Head </t>
  </si>
  <si>
    <t xml:space="preserve">Many emails and short texts. </t>
  </si>
  <si>
    <t xml:space="preserve">Emails, contract review </t>
  </si>
  <si>
    <t>Legal/economic,Letters (formal and informal)</t>
  </si>
  <si>
    <t xml:space="preserve">Reduce syntax and grammatical errors </t>
  </si>
  <si>
    <t xml:space="preserve">The tone and style differ from my intention </t>
  </si>
  <si>
    <t>Style and tone</t>
  </si>
  <si>
    <t>19/11/2025 21.34.51</t>
  </si>
  <si>
    <t>AM</t>
  </si>
  <si>
    <t>Veterinary medicine</t>
  </si>
  <si>
    <t>Centre Manager</t>
  </si>
  <si>
    <t xml:space="preserve">Behavioural visits and sessions with dogs </t>
  </si>
  <si>
    <t xml:space="preserve">Scientific books </t>
  </si>
  <si>
    <t>I don't use it</t>
  </si>
  <si>
    <t>I don't have any</t>
  </si>
  <si>
    <t>19/11/2025 17.54.27</t>
  </si>
  <si>
    <t>AN</t>
  </si>
  <si>
    <t>Publishing</t>
  </si>
  <si>
    <t>Social Media Manager</t>
  </si>
  <si>
    <t>Presentations on social media strategy and management</t>
  </si>
  <si>
    <t>All kinds. Especially social media posts, synopses, press release notes, communication and marketing plans, video scripts</t>
  </si>
  <si>
    <t>All,Written informal</t>
  </si>
  <si>
    <t xml:space="preserve">Speed </t>
  </si>
  <si>
    <t>I have to check the translation for possible errors</t>
  </si>
  <si>
    <t>Verify translation</t>
  </si>
  <si>
    <t>21/11/2025 12.23.34</t>
  </si>
  <si>
    <t>Tourism</t>
  </si>
  <si>
    <t>Barista</t>
  </si>
  <si>
    <t>Cafeteria and customer care</t>
  </si>
  <si>
    <t>Orders</t>
  </si>
  <si>
    <t>How to say something I can't remember</t>
  </si>
  <si>
    <t>writing support</t>
  </si>
  <si>
    <t xml:space="preserve">The internet connection </t>
  </si>
  <si>
    <t>internet connection</t>
  </si>
  <si>
    <t>21/11/2025 14.26.30</t>
  </si>
  <si>
    <t>AO</t>
  </si>
  <si>
    <t xml:space="preserve">Coordination and control </t>
  </si>
  <si>
    <t xml:space="preserve">Contracts </t>
  </si>
  <si>
    <t xml:space="preserve">Simplify understanding </t>
  </si>
  <si>
    <t xml:space="preserve">Free tools with low quality levels </t>
  </si>
  <si>
    <t>free tools,low quality</t>
  </si>
  <si>
    <t>22/11/2025 15.10.18</t>
  </si>
  <si>
    <t>AP</t>
  </si>
  <si>
    <t>Co-Founder</t>
  </si>
  <si>
    <t>Campaign management, coordination of freelancers, customer contact</t>
  </si>
  <si>
    <t>correspondence (written and oral),management</t>
  </si>
  <si>
    <t>Content creation for campaigns and emails</t>
  </si>
  <si>
    <t>Graphical,Letters (formal and informal)</t>
  </si>
  <si>
    <t>A translation that is as close as possible to the actual meaning in the original language.</t>
  </si>
  <si>
    <t>Literal translation or processing completely different from the initial content provided</t>
  </si>
  <si>
    <t>Accuracy/gram,literal translation</t>
  </si>
  <si>
    <t>23/11/2025 19.41.47</t>
  </si>
  <si>
    <t>AQ</t>
  </si>
  <si>
    <t>Toys</t>
  </si>
  <si>
    <t>Games</t>
  </si>
  <si>
    <t>Category Manager</t>
  </si>
  <si>
    <t>Sales data analysis, competition analysis, performance analysis of the relevant product category, definition of product costs and related margins and retail prices, evaluating the product life cycle. Definition of sales and promotional materials, creation of sales catalogues.</t>
  </si>
  <si>
    <t>B2B texts</t>
  </si>
  <si>
    <t>Make it as realistic as possible and appropriate for the remuneration.</t>
  </si>
  <si>
    <t>That it uses the correct terms and is understandable and makes sense in the final language, without using literal translations</t>
  </si>
  <si>
    <t>Terminology,Understand/be understood,literal translation</t>
  </si>
  <si>
    <t>01/12/2025 19.36.43</t>
  </si>
  <si>
    <t>AR</t>
  </si>
  <si>
    <t>My previous job, Translation.</t>
  </si>
  <si>
    <t>Senior Business Manager</t>
  </si>
  <si>
    <t>Both</t>
  </si>
  <si>
    <t>Content generation, commercial activities such as attending events, preparing commercial proposals, etc.</t>
  </si>
  <si>
    <t>Related to the service I offer</t>
  </si>
  <si>
    <t>Ensure that the message is understood and appropriate.</t>
  </si>
  <si>
    <t>Accuracy/true/correctness,Understand/be understood</t>
  </si>
  <si>
    <t>The accuracy of the message I want to convey, the appropriateness of the tone, and the correct use of regionalisms, so that it is natural and fluid, and connects with the audience.</t>
  </si>
  <si>
    <t>Accuracy/gram,Style and tone,Understand/be understood</t>
  </si>
  <si>
    <t>PA/PVT</t>
  </si>
  <si>
    <t>Count</t>
  </si>
  <si>
    <t>%</t>
  </si>
  <si>
    <t>Mother tongue</t>
  </si>
  <si>
    <t>Translation use</t>
  </si>
  <si>
    <t>Which tools</t>
  </si>
  <si>
    <t>English level</t>
  </si>
  <si>
    <t>Daily tasks (tags)</t>
  </si>
  <si>
    <t>Text types (tags)</t>
  </si>
  <si>
    <t>Goals (tags)</t>
  </si>
  <si>
    <t>Frustrations (tags)</t>
  </si>
  <si>
    <t xml:space="preserve">Public administration </t>
  </si>
  <si>
    <t>MT</t>
  </si>
  <si>
    <t>Private company</t>
  </si>
  <si>
    <t>LLM</t>
  </si>
  <si>
    <t>B2</t>
  </si>
  <si>
    <t>TOT</t>
  </si>
  <si>
    <t>B1</t>
  </si>
  <si>
    <t>marketing</t>
  </si>
  <si>
    <t>terminology</t>
  </si>
  <si>
    <t>(1 person is bilingual)</t>
  </si>
  <si>
    <t>A2</t>
  </si>
  <si>
    <t>letters (formal and informal)</t>
  </si>
  <si>
    <t>A1</t>
  </si>
  <si>
    <t>legal/economic</t>
  </si>
  <si>
    <t>Native/bilingual</t>
  </si>
  <si>
    <t>education</t>
  </si>
  <si>
    <t>none</t>
  </si>
  <si>
    <t>literal translation</t>
  </si>
  <si>
    <t>1 person put "both"</t>
  </si>
  <si>
    <t>free tools</t>
  </si>
  <si>
    <t>more than 1 possible answer</t>
  </si>
  <si>
    <t>low quality</t>
  </si>
  <si>
    <t xml:space="preserve">Don't know </t>
  </si>
  <si>
    <t>TOTAL WITHOUT NONE, DON'T USE:</t>
  </si>
  <si>
    <t xml:space="preserve">TOTAL N. WITHOUT NONE, DON'T USE, DON'T KNOW: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</si>
</sst>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color theme="1"/>
      <name val="Arial"/>
      <family val="2"/>
    </font>
    <font>
      <sz val="10"/>
      <color rgb="FF434343"/>
      <name val="Roboto"/>
      <charset val="1"/>
    </font>
    <font>
      <sz val="11"/>
      <color rgb="FF000000"/>
      <name val="Aptos Narrow"/>
      <scheme val="minor"/>
    </font>
    <font>
      <b/>
      <sz val="11"/>
      <color theme="1"/>
      <name val="Aptos Narrow"/>
      <scheme val="minor"/>
    </font>
    <font>
      <sz val="11"/>
      <color theme="1"/>
      <name val="Aptos Narrow"/>
      <scheme val="minor"/>
    </font>
    <font>
      <u/>
      <sz val="11"/>
      <color theme="10"/>
      <name val="Aptos Narrow"/>
      <family val="2"/>
      <scheme val="minor"/>
    </font>
    <font>
      <sz val="10"/>
      <color rgb="FFFFFFFF"/>
      <name val="Aptos Narrow"/>
      <scheme val="minor"/>
    </font>
    <font>
      <sz val="10"/>
      <color theme="1"/>
      <name val="Aptos Narrow"/>
      <scheme val="minor"/>
    </font>
    <font>
      <sz val="11"/>
      <color rgb="FFFFFFFF"/>
      <name val="Aptos Narrow"/>
      <scheme val="minor"/>
    </font>
  </fonts>
  <fills count="8">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them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s>
  <borders count="11">
    <border>
      <left/>
      <right/>
      <top/>
      <bottom/>
      <diagonal/>
    </border>
    <border>
      <left style="thin">
        <color rgb="FFCCCCCC"/>
      </left>
      <right style="thin">
        <color rgb="FF5B3F86"/>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right style="thin">
        <color rgb="FFCCCCCC"/>
      </right>
      <top style="thin">
        <color rgb="FF000000"/>
      </top>
      <bottom style="thin">
        <color rgb="FF000000"/>
      </bottom>
      <diagonal/>
    </border>
    <border>
      <left style="thin">
        <color rgb="FFCCCCCC"/>
      </left>
      <right style="thin">
        <color rgb="FFFFFFFF"/>
      </right>
      <top/>
      <bottom/>
      <diagonal/>
    </border>
    <border>
      <left style="thin">
        <color rgb="FF000000"/>
      </left>
      <right style="thin">
        <color rgb="FFFFFFFF"/>
      </right>
      <top/>
      <bottom/>
      <diagonal/>
    </border>
    <border>
      <left/>
      <right style="medium">
        <color rgb="FF000000"/>
      </right>
      <top/>
      <bottom/>
      <diagonal/>
    </border>
    <border>
      <left/>
      <right style="thin">
        <color rgb="FF5B3F86"/>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34">
    <xf numFmtId="0" fontId="0" fillId="0" borderId="0" xfId="0"/>
    <xf numFmtId="0" fontId="0" fillId="0" borderId="0" xfId="0" applyAlignment="1">
      <alignment wrapText="1"/>
    </xf>
    <xf numFmtId="0" fontId="1" fillId="0" borderId="4" xfId="0" applyFont="1" applyBorder="1" applyAlignment="1">
      <alignment wrapText="1" readingOrder="1"/>
    </xf>
    <xf numFmtId="0" fontId="1" fillId="0" borderId="5" xfId="0" applyFont="1" applyBorder="1" applyAlignment="1">
      <alignment wrapText="1" readingOrder="1"/>
    </xf>
    <xf numFmtId="0" fontId="3" fillId="4" borderId="0" xfId="0" applyFont="1" applyFill="1" applyAlignment="1">
      <alignment wrapText="1"/>
    </xf>
    <xf numFmtId="0" fontId="4" fillId="0" borderId="0" xfId="0" applyFont="1"/>
    <xf numFmtId="0" fontId="5" fillId="4" borderId="0" xfId="0" applyFont="1" applyFill="1"/>
    <xf numFmtId="0" fontId="5" fillId="4" borderId="0" xfId="0" applyFont="1" applyFill="1" applyAlignment="1">
      <alignment wrapText="1"/>
    </xf>
    <xf numFmtId="0" fontId="5" fillId="0" borderId="0" xfId="0" applyFont="1"/>
    <xf numFmtId="0" fontId="5" fillId="0" borderId="0" xfId="0" applyFont="1" applyAlignment="1">
      <alignment wrapText="1"/>
    </xf>
    <xf numFmtId="0" fontId="8" fillId="0" borderId="2" xfId="0" applyFont="1" applyBorder="1" applyAlignment="1">
      <alignment wrapText="1" readingOrder="1"/>
    </xf>
    <xf numFmtId="0" fontId="7" fillId="2" borderId="0" xfId="0" applyFont="1" applyFill="1" applyAlignment="1">
      <alignment wrapText="1" readingOrder="1"/>
    </xf>
    <xf numFmtId="0" fontId="2" fillId="3" borderId="7" xfId="0" applyFont="1" applyFill="1" applyBorder="1" applyAlignment="1">
      <alignment wrapText="1" readingOrder="1"/>
    </xf>
    <xf numFmtId="22" fontId="2" fillId="3" borderId="8" xfId="0" applyNumberFormat="1" applyFont="1" applyFill="1" applyBorder="1" applyAlignment="1">
      <alignment wrapText="1" readingOrder="1"/>
    </xf>
    <xf numFmtId="0" fontId="8" fillId="0" borderId="6" xfId="0" applyFont="1" applyBorder="1" applyAlignment="1">
      <alignment wrapText="1" readingOrder="1"/>
    </xf>
    <xf numFmtId="0" fontId="8" fillId="0" borderId="3" xfId="0" applyFont="1" applyBorder="1" applyAlignment="1">
      <alignment wrapText="1" readingOrder="1"/>
    </xf>
    <xf numFmtId="2" fontId="5" fillId="0" borderId="0" xfId="0" applyNumberFormat="1" applyFont="1" applyAlignment="1">
      <alignment wrapText="1"/>
    </xf>
    <xf numFmtId="0" fontId="5" fillId="5" borderId="0" xfId="0" applyFont="1" applyFill="1"/>
    <xf numFmtId="0" fontId="4" fillId="4" borderId="0" xfId="0" applyFont="1" applyFill="1"/>
    <xf numFmtId="2" fontId="5" fillId="0" borderId="0" xfId="0" applyNumberFormat="1" applyFont="1"/>
    <xf numFmtId="0" fontId="5" fillId="6" borderId="0" xfId="0" applyFont="1" applyFill="1" applyAlignment="1">
      <alignment wrapText="1"/>
    </xf>
    <xf numFmtId="0" fontId="6" fillId="0" borderId="0" xfId="1" applyAlignment="1">
      <alignment wrapText="1"/>
    </xf>
    <xf numFmtId="0" fontId="5" fillId="7" borderId="0" xfId="0" applyFont="1" applyFill="1"/>
    <xf numFmtId="0" fontId="5" fillId="0" borderId="9" xfId="0" applyFont="1" applyBorder="1"/>
    <xf numFmtId="2" fontId="5" fillId="0" borderId="9" xfId="0" applyNumberFormat="1" applyFont="1" applyBorder="1"/>
    <xf numFmtId="0" fontId="5" fillId="0" borderId="9" xfId="0" applyFont="1" applyBorder="1" applyAlignment="1">
      <alignment wrapText="1"/>
    </xf>
    <xf numFmtId="0" fontId="5" fillId="5" borderId="0" xfId="0" applyFont="1" applyFill="1" applyAlignment="1">
      <alignment wrapText="1"/>
    </xf>
    <xf numFmtId="0" fontId="9" fillId="2" borderId="1" xfId="0" applyFont="1" applyFill="1" applyBorder="1" applyAlignment="1">
      <alignment wrapText="1" readingOrder="1"/>
    </xf>
    <xf numFmtId="0" fontId="9" fillId="2" borderId="0" xfId="0" applyFont="1" applyFill="1" applyAlignment="1">
      <alignment wrapText="1" readingOrder="1"/>
    </xf>
    <xf numFmtId="0" fontId="9" fillId="2" borderId="10" xfId="0" applyFont="1" applyFill="1" applyBorder="1" applyAlignment="1">
      <alignment wrapText="1" readingOrder="1"/>
    </xf>
    <xf numFmtId="0" fontId="5" fillId="0" borderId="0" xfId="0" applyFont="1" applyAlignment="1">
      <alignment wrapText="1" readingOrder="1"/>
    </xf>
    <xf numFmtId="0" fontId="3" fillId="4" borderId="0" xfId="0" applyFont="1" applyFill="1" applyAlignment="1">
      <alignment wrapText="1" readingOrder="1"/>
    </xf>
    <xf numFmtId="2" fontId="3" fillId="0" borderId="0" xfId="0" applyNumberFormat="1" applyFont="1"/>
    <xf numFmtId="2" fontId="3" fillId="0" borderId="9" xfId="0" applyNumberFormat="1" applyFont="1" applyBorder="1"/>
  </cellXfs>
  <cellStyles count="2">
    <cellStyle name="Hyperlink" xfId="1" xr:uid="{00000000-000B-0000-0000-000008000000}"/>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2"/>
  <sheetViews>
    <sheetView workbookViewId="0">
      <pane ySplit="1" topLeftCell="J44" activePane="bottomLeft" state="frozen"/>
      <selection pane="bottomLeft" activeCell="M1" sqref="M1:M1048576"/>
      <selection activeCell="I1" sqref="I1"/>
    </sheetView>
  </sheetViews>
  <sheetFormatPr defaultColWidth="15.7109375" defaultRowHeight="15"/>
  <cols>
    <col min="1" max="1" width="6" style="9" customWidth="1"/>
    <col min="2" max="2" width="9.140625" style="9"/>
    <col min="3" max="4" width="15.7109375" style="9"/>
    <col min="5" max="5" width="15.7109375" style="16"/>
    <col min="6" max="7" width="15.7109375" style="9"/>
    <col min="8" max="8" width="15.7109375" style="9" customWidth="1"/>
    <col min="9" max="15" width="15.7109375" style="9"/>
    <col min="16" max="16" width="15.7109375" style="9" customWidth="1"/>
    <col min="17" max="17" width="15.7109375" style="9"/>
    <col min="18" max="18" width="15.7109375" style="9" customWidth="1"/>
    <col min="19" max="19" width="15.7109375" style="9"/>
    <col min="20" max="20" width="15.7109375" style="9" customWidth="1"/>
    <col min="21" max="16384" width="15.7109375" style="9"/>
  </cols>
  <sheetData>
    <row r="1" spans="1:35" ht="90">
      <c r="A1" s="9"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4"/>
      <c r="W1" s="10"/>
      <c r="X1" s="10"/>
      <c r="Y1" s="15"/>
    </row>
    <row r="2" spans="1:35" s="1" customFormat="1" ht="52.5">
      <c r="A2" s="1">
        <v>1</v>
      </c>
      <c r="B2" s="12" t="s">
        <v>21</v>
      </c>
      <c r="C2" s="13">
        <v>45939.598333333335</v>
      </c>
      <c r="D2" s="12" t="s">
        <v>22</v>
      </c>
      <c r="E2" s="12" t="s">
        <v>23</v>
      </c>
      <c r="F2" s="12" t="s">
        <v>24</v>
      </c>
      <c r="G2" s="12" t="s">
        <v>25</v>
      </c>
      <c r="H2" s="12" t="s">
        <v>26</v>
      </c>
      <c r="I2" s="12" t="s">
        <v>27</v>
      </c>
      <c r="J2" s="12" t="s">
        <v>28</v>
      </c>
      <c r="K2" s="12" t="s">
        <v>29</v>
      </c>
      <c r="L2" s="12" t="s">
        <v>30</v>
      </c>
      <c r="M2" s="12" t="s">
        <v>31</v>
      </c>
      <c r="N2" s="12"/>
      <c r="O2" s="12" t="s">
        <v>32</v>
      </c>
      <c r="P2" s="12" t="s">
        <v>33</v>
      </c>
      <c r="Q2" s="12" t="s">
        <v>34</v>
      </c>
      <c r="R2" s="12"/>
      <c r="S2" s="12" t="s">
        <v>32</v>
      </c>
      <c r="T2" s="12"/>
      <c r="U2" s="12" t="s">
        <v>32</v>
      </c>
      <c r="V2" s="2"/>
      <c r="W2" s="2"/>
      <c r="X2" s="2"/>
      <c r="Y2" s="2"/>
      <c r="Z2" s="2"/>
      <c r="AA2" s="3"/>
      <c r="AI2" s="1" t="s">
        <v>35</v>
      </c>
    </row>
    <row r="3" spans="1:35" ht="52.5">
      <c r="A3" s="1">
        <v>2</v>
      </c>
      <c r="B3" s="12" t="s">
        <v>21</v>
      </c>
      <c r="C3" s="13">
        <v>45939.616736111115</v>
      </c>
      <c r="D3" s="12" t="s">
        <v>36</v>
      </c>
      <c r="E3" s="12" t="s">
        <v>37</v>
      </c>
      <c r="F3" s="12" t="s">
        <v>38</v>
      </c>
      <c r="G3" s="12" t="s">
        <v>39</v>
      </c>
      <c r="H3" s="12" t="s">
        <v>40</v>
      </c>
      <c r="I3" s="12" t="s">
        <v>41</v>
      </c>
      <c r="J3" s="12" t="s">
        <v>42</v>
      </c>
      <c r="K3" s="12" t="s">
        <v>29</v>
      </c>
      <c r="L3" s="12" t="s">
        <v>30</v>
      </c>
      <c r="M3" s="12" t="s">
        <v>43</v>
      </c>
      <c r="N3" s="12"/>
      <c r="O3" s="12" t="s">
        <v>32</v>
      </c>
      <c r="P3" s="12" t="s">
        <v>44</v>
      </c>
      <c r="Q3" s="12" t="s">
        <v>45</v>
      </c>
      <c r="R3" s="12"/>
      <c r="S3" s="12" t="s">
        <v>32</v>
      </c>
      <c r="T3" s="12"/>
      <c r="U3" s="12" t="s">
        <v>32</v>
      </c>
      <c r="V3" s="2"/>
      <c r="W3" s="2"/>
      <c r="X3" s="2"/>
      <c r="Y3" s="2"/>
      <c r="Z3" s="2"/>
      <c r="AA3" s="3"/>
      <c r="AB3" s="1"/>
      <c r="AC3" s="1"/>
      <c r="AD3" s="1"/>
      <c r="AE3" s="1"/>
      <c r="AF3" s="1"/>
      <c r="AG3" s="1"/>
      <c r="AH3" s="1"/>
      <c r="AI3" s="1"/>
    </row>
    <row r="4" spans="1:35" s="1" customFormat="1" ht="53.1">
      <c r="A4" s="1">
        <v>3</v>
      </c>
      <c r="B4" s="12" t="s">
        <v>21</v>
      </c>
      <c r="C4" s="13">
        <v>45939.628842592596</v>
      </c>
      <c r="D4" s="12" t="s">
        <v>46</v>
      </c>
      <c r="E4" s="12" t="s">
        <v>23</v>
      </c>
      <c r="F4" s="12" t="s">
        <v>24</v>
      </c>
      <c r="G4" s="12" t="s">
        <v>47</v>
      </c>
      <c r="H4" s="12" t="s">
        <v>48</v>
      </c>
      <c r="I4" s="12" t="s">
        <v>49</v>
      </c>
      <c r="J4" s="12" t="s">
        <v>50</v>
      </c>
      <c r="K4" s="12" t="s">
        <v>29</v>
      </c>
      <c r="L4" s="12" t="s">
        <v>30</v>
      </c>
      <c r="M4" s="12" t="s">
        <v>51</v>
      </c>
      <c r="N4" s="12"/>
      <c r="O4" s="12" t="s">
        <v>32</v>
      </c>
      <c r="P4" s="12" t="s">
        <v>52</v>
      </c>
      <c r="Q4" s="12" t="s">
        <v>48</v>
      </c>
      <c r="R4" s="12"/>
      <c r="S4" s="12" t="s">
        <v>32</v>
      </c>
      <c r="T4" s="12"/>
      <c r="U4" s="12" t="s">
        <v>32</v>
      </c>
      <c r="V4" s="2"/>
      <c r="W4" s="2"/>
      <c r="X4" s="2"/>
      <c r="Y4" s="2"/>
      <c r="Z4" s="2"/>
      <c r="AA4" s="3"/>
    </row>
    <row r="5" spans="1:35" ht="39.950000000000003">
      <c r="A5" s="1">
        <v>4</v>
      </c>
      <c r="B5" s="12" t="s">
        <v>21</v>
      </c>
      <c r="C5" s="13">
        <v>45939.652118055557</v>
      </c>
      <c r="D5" s="12" t="s">
        <v>53</v>
      </c>
      <c r="E5" s="12" t="s">
        <v>37</v>
      </c>
      <c r="F5" s="12" t="s">
        <v>38</v>
      </c>
      <c r="G5" s="12" t="s">
        <v>54</v>
      </c>
      <c r="H5" s="12" t="s">
        <v>40</v>
      </c>
      <c r="I5" s="12" t="s">
        <v>41</v>
      </c>
      <c r="J5" s="12" t="s">
        <v>55</v>
      </c>
      <c r="K5" s="12" t="s">
        <v>56</v>
      </c>
      <c r="L5" s="12" t="s">
        <v>32</v>
      </c>
      <c r="M5" s="12" t="s">
        <v>57</v>
      </c>
      <c r="N5" s="12"/>
      <c r="O5" s="12" t="s">
        <v>32</v>
      </c>
      <c r="P5" s="12" t="s">
        <v>58</v>
      </c>
      <c r="Q5" s="12" t="s">
        <v>59</v>
      </c>
      <c r="R5" s="12"/>
      <c r="S5" s="12" t="s">
        <v>32</v>
      </c>
      <c r="T5" s="12"/>
      <c r="U5" s="12" t="s">
        <v>32</v>
      </c>
      <c r="V5" s="2"/>
      <c r="W5" s="2"/>
      <c r="X5" s="2"/>
      <c r="Y5" s="2"/>
      <c r="Z5" s="2"/>
      <c r="AA5" s="3"/>
      <c r="AB5" s="1"/>
      <c r="AC5" s="1"/>
      <c r="AD5" s="1"/>
      <c r="AE5" s="1"/>
      <c r="AF5" s="1"/>
      <c r="AG5" s="1"/>
      <c r="AH5" s="1"/>
      <c r="AI5" s="1"/>
    </row>
    <row r="6" spans="1:35" s="1" customFormat="1" ht="53.1">
      <c r="A6" s="1">
        <v>5</v>
      </c>
      <c r="B6" s="12" t="s">
        <v>21</v>
      </c>
      <c r="C6" s="13">
        <v>45939.655289351853</v>
      </c>
      <c r="D6" s="12" t="s">
        <v>60</v>
      </c>
      <c r="E6" s="12" t="s">
        <v>61</v>
      </c>
      <c r="F6" s="12" t="s">
        <v>24</v>
      </c>
      <c r="G6" s="12" t="s">
        <v>62</v>
      </c>
      <c r="H6" s="12" t="s">
        <v>62</v>
      </c>
      <c r="I6" s="12" t="s">
        <v>27</v>
      </c>
      <c r="J6" s="12" t="s">
        <v>63</v>
      </c>
      <c r="K6" s="12" t="s">
        <v>29</v>
      </c>
      <c r="L6" s="12" t="s">
        <v>30</v>
      </c>
      <c r="M6" s="12" t="s">
        <v>43</v>
      </c>
      <c r="N6" s="12"/>
      <c r="O6" s="12" t="s">
        <v>32</v>
      </c>
      <c r="P6" s="12" t="s">
        <v>64</v>
      </c>
      <c r="Q6" s="12" t="s">
        <v>34</v>
      </c>
      <c r="R6" s="12"/>
      <c r="S6" s="12" t="s">
        <v>32</v>
      </c>
      <c r="T6" s="12"/>
      <c r="U6" s="12" t="s">
        <v>32</v>
      </c>
      <c r="V6" s="2"/>
      <c r="W6" s="2"/>
      <c r="X6" s="2"/>
      <c r="Y6" s="2"/>
      <c r="Z6" s="2"/>
      <c r="AA6" s="3"/>
    </row>
    <row r="7" spans="1:35" ht="27">
      <c r="A7" s="1">
        <v>6</v>
      </c>
      <c r="B7" s="12" t="s">
        <v>21</v>
      </c>
      <c r="C7" s="13">
        <v>45939.655740740738</v>
      </c>
      <c r="D7" s="12" t="s">
        <v>65</v>
      </c>
      <c r="E7" s="12" t="s">
        <v>23</v>
      </c>
      <c r="F7" s="12" t="s">
        <v>24</v>
      </c>
      <c r="G7" s="12" t="s">
        <v>66</v>
      </c>
      <c r="H7" s="12" t="s">
        <v>67</v>
      </c>
      <c r="I7" s="12" t="s">
        <v>41</v>
      </c>
      <c r="J7" s="12" t="s">
        <v>68</v>
      </c>
      <c r="K7" s="12" t="s">
        <v>56</v>
      </c>
      <c r="L7" s="12" t="s">
        <v>32</v>
      </c>
      <c r="M7" s="12" t="s">
        <v>43</v>
      </c>
      <c r="N7" s="12"/>
      <c r="O7" s="12" t="s">
        <v>32</v>
      </c>
      <c r="P7" s="12" t="s">
        <v>69</v>
      </c>
      <c r="Q7" s="12" t="s">
        <v>59</v>
      </c>
      <c r="R7" s="12"/>
      <c r="S7" s="12" t="s">
        <v>32</v>
      </c>
      <c r="T7" s="12"/>
      <c r="U7" s="12" t="s">
        <v>32</v>
      </c>
      <c r="V7" s="2"/>
      <c r="W7" s="2"/>
      <c r="X7" s="2"/>
      <c r="Y7" s="2"/>
      <c r="Z7" s="2"/>
      <c r="AA7" s="3"/>
      <c r="AB7" s="1"/>
      <c r="AC7" s="1"/>
      <c r="AD7" s="1"/>
      <c r="AE7" s="1"/>
      <c r="AF7" s="1"/>
      <c r="AG7" s="1"/>
      <c r="AH7" s="1"/>
      <c r="AI7" s="1"/>
    </row>
    <row r="8" spans="1:35" s="1" customFormat="1" ht="53.1">
      <c r="A8" s="1">
        <v>7</v>
      </c>
      <c r="B8" s="12" t="s">
        <v>21</v>
      </c>
      <c r="C8" s="13">
        <v>45939.678912037038</v>
      </c>
      <c r="D8" s="12" t="s">
        <v>70</v>
      </c>
      <c r="E8" s="12" t="s">
        <v>23</v>
      </c>
      <c r="F8" s="12" t="s">
        <v>38</v>
      </c>
      <c r="G8" s="12" t="s">
        <v>71</v>
      </c>
      <c r="H8" s="12" t="s">
        <v>48</v>
      </c>
      <c r="I8" s="12" t="s">
        <v>72</v>
      </c>
      <c r="J8" s="12" t="s">
        <v>73</v>
      </c>
      <c r="K8" s="12" t="s">
        <v>29</v>
      </c>
      <c r="L8" s="12" t="s">
        <v>30</v>
      </c>
      <c r="M8" s="12" t="s">
        <v>43</v>
      </c>
      <c r="N8" s="12"/>
      <c r="O8" s="12" t="s">
        <v>32</v>
      </c>
      <c r="P8" s="12" t="s">
        <v>74</v>
      </c>
      <c r="Q8" s="12" t="s">
        <v>75</v>
      </c>
      <c r="R8" s="12"/>
      <c r="S8" s="12" t="s">
        <v>32</v>
      </c>
      <c r="T8" s="12"/>
      <c r="U8" s="12" t="s">
        <v>32</v>
      </c>
      <c r="V8" s="2"/>
      <c r="W8" s="2"/>
      <c r="X8" s="2"/>
      <c r="Y8" s="2"/>
      <c r="Z8" s="2"/>
      <c r="AA8" s="3"/>
    </row>
    <row r="9" spans="1:35" s="1" customFormat="1" ht="53.1">
      <c r="A9" s="1">
        <v>8</v>
      </c>
      <c r="B9" s="12" t="s">
        <v>21</v>
      </c>
      <c r="C9" s="13">
        <v>45939.687199074076</v>
      </c>
      <c r="D9" s="12" t="s">
        <v>76</v>
      </c>
      <c r="E9" s="12" t="s">
        <v>23</v>
      </c>
      <c r="F9" s="12" t="s">
        <v>38</v>
      </c>
      <c r="G9" s="12" t="s">
        <v>77</v>
      </c>
      <c r="H9" s="12" t="s">
        <v>78</v>
      </c>
      <c r="I9" s="12" t="s">
        <v>72</v>
      </c>
      <c r="J9" s="12" t="s">
        <v>79</v>
      </c>
      <c r="K9" s="12" t="s">
        <v>29</v>
      </c>
      <c r="L9" s="12" t="s">
        <v>80</v>
      </c>
      <c r="M9" s="12" t="s">
        <v>43</v>
      </c>
      <c r="N9" s="12"/>
      <c r="O9" s="12" t="s">
        <v>32</v>
      </c>
      <c r="P9" s="12" t="s">
        <v>81</v>
      </c>
      <c r="Q9" s="12" t="s">
        <v>82</v>
      </c>
      <c r="R9" s="12"/>
      <c r="S9" s="12" t="s">
        <v>32</v>
      </c>
      <c r="T9" s="12"/>
      <c r="U9" s="12" t="s">
        <v>32</v>
      </c>
      <c r="V9" s="2"/>
      <c r="W9" s="2"/>
      <c r="X9" s="2"/>
      <c r="Y9" s="2"/>
      <c r="Z9" s="2"/>
      <c r="AA9" s="3"/>
    </row>
    <row r="10" spans="1:35" ht="53.1">
      <c r="A10" s="1">
        <v>9</v>
      </c>
      <c r="B10" s="12" t="s">
        <v>21</v>
      </c>
      <c r="C10" s="13">
        <v>45939.691886574074</v>
      </c>
      <c r="D10" s="12" t="s">
        <v>83</v>
      </c>
      <c r="E10" s="12" t="s">
        <v>61</v>
      </c>
      <c r="F10" s="12" t="s">
        <v>24</v>
      </c>
      <c r="G10" s="12" t="s">
        <v>84</v>
      </c>
      <c r="H10" s="12" t="s">
        <v>85</v>
      </c>
      <c r="I10" s="12" t="s">
        <v>41</v>
      </c>
      <c r="J10" s="12" t="s">
        <v>86</v>
      </c>
      <c r="K10" s="12" t="s">
        <v>29</v>
      </c>
      <c r="L10" s="12" t="s">
        <v>30</v>
      </c>
      <c r="M10" s="12" t="s">
        <v>43</v>
      </c>
      <c r="N10" s="12"/>
      <c r="O10" s="12" t="s">
        <v>32</v>
      </c>
      <c r="P10" s="12" t="s">
        <v>87</v>
      </c>
      <c r="Q10" s="12" t="s">
        <v>34</v>
      </c>
      <c r="R10" s="12"/>
      <c r="S10" s="12" t="s">
        <v>32</v>
      </c>
      <c r="T10" s="12"/>
      <c r="U10" s="12" t="s">
        <v>32</v>
      </c>
      <c r="V10" s="2"/>
      <c r="W10" s="2"/>
      <c r="X10" s="2"/>
      <c r="Y10" s="2"/>
      <c r="Z10" s="2"/>
      <c r="AA10" s="3"/>
      <c r="AB10" s="1"/>
      <c r="AC10" s="1"/>
      <c r="AD10" s="1"/>
      <c r="AE10" s="1"/>
      <c r="AF10" s="1"/>
      <c r="AG10" s="1"/>
      <c r="AH10" s="1"/>
      <c r="AI10" s="1"/>
    </row>
    <row r="11" spans="1:35" s="1" customFormat="1" ht="53.1">
      <c r="A11" s="1">
        <v>10</v>
      </c>
      <c r="B11" s="12" t="s">
        <v>21</v>
      </c>
      <c r="C11" s="13">
        <v>45939.694282407407</v>
      </c>
      <c r="D11" s="12" t="s">
        <v>88</v>
      </c>
      <c r="E11" s="12" t="s">
        <v>23</v>
      </c>
      <c r="F11" s="12" t="s">
        <v>24</v>
      </c>
      <c r="G11" s="12" t="s">
        <v>89</v>
      </c>
      <c r="H11" s="12" t="s">
        <v>85</v>
      </c>
      <c r="I11" s="12" t="s">
        <v>27</v>
      </c>
      <c r="J11" s="12" t="s">
        <v>90</v>
      </c>
      <c r="K11" s="12" t="s">
        <v>29</v>
      </c>
      <c r="L11" s="12" t="s">
        <v>30</v>
      </c>
      <c r="M11" s="12" t="s">
        <v>57</v>
      </c>
      <c r="N11" s="12"/>
      <c r="O11" s="12" t="s">
        <v>32</v>
      </c>
      <c r="P11" s="12" t="s">
        <v>91</v>
      </c>
      <c r="Q11" s="12" t="s">
        <v>75</v>
      </c>
      <c r="R11" s="12"/>
      <c r="S11" s="12" t="s">
        <v>32</v>
      </c>
      <c r="T11" s="12"/>
      <c r="U11" s="12" t="s">
        <v>32</v>
      </c>
      <c r="V11" s="2"/>
      <c r="W11" s="2"/>
      <c r="X11" s="2"/>
      <c r="Y11" s="2"/>
      <c r="Z11" s="2"/>
      <c r="AA11" s="3"/>
    </row>
    <row r="12" spans="1:35" s="1" customFormat="1" ht="66">
      <c r="A12" s="1">
        <v>11</v>
      </c>
      <c r="B12" s="12" t="s">
        <v>21</v>
      </c>
      <c r="C12" s="13">
        <v>45939.817303240743</v>
      </c>
      <c r="D12" s="12" t="s">
        <v>92</v>
      </c>
      <c r="E12" s="12" t="s">
        <v>37</v>
      </c>
      <c r="F12" s="12" t="s">
        <v>24</v>
      </c>
      <c r="G12" s="12" t="s">
        <v>93</v>
      </c>
      <c r="H12" s="12" t="s">
        <v>67</v>
      </c>
      <c r="I12" s="12" t="s">
        <v>27</v>
      </c>
      <c r="J12" s="12" t="s">
        <v>94</v>
      </c>
      <c r="K12" s="12" t="s">
        <v>29</v>
      </c>
      <c r="L12" s="12" t="s">
        <v>95</v>
      </c>
      <c r="M12" s="12" t="s">
        <v>43</v>
      </c>
      <c r="N12" s="12"/>
      <c r="O12" s="12" t="s">
        <v>32</v>
      </c>
      <c r="P12" s="12" t="s">
        <v>96</v>
      </c>
      <c r="Q12" s="12" t="s">
        <v>59</v>
      </c>
      <c r="R12" s="12"/>
      <c r="S12" s="12" t="s">
        <v>32</v>
      </c>
      <c r="T12" s="12"/>
      <c r="U12" s="12" t="s">
        <v>32</v>
      </c>
      <c r="V12" s="2"/>
      <c r="W12" s="2"/>
      <c r="X12" s="2"/>
      <c r="Y12" s="2"/>
      <c r="Z12" s="2"/>
      <c r="AA12" s="3"/>
    </row>
    <row r="13" spans="1:35" ht="53.1">
      <c r="A13" s="1">
        <v>12</v>
      </c>
      <c r="B13" s="12" t="s">
        <v>21</v>
      </c>
      <c r="C13" s="13">
        <v>45942.495115740741</v>
      </c>
      <c r="D13" s="12" t="s">
        <v>97</v>
      </c>
      <c r="E13" s="12" t="s">
        <v>23</v>
      </c>
      <c r="F13" s="12" t="s">
        <v>24</v>
      </c>
      <c r="G13" s="12" t="s">
        <v>98</v>
      </c>
      <c r="H13" s="12" t="s">
        <v>99</v>
      </c>
      <c r="I13" s="12" t="s">
        <v>41</v>
      </c>
      <c r="J13" s="12" t="s">
        <v>100</v>
      </c>
      <c r="K13" s="12" t="s">
        <v>29</v>
      </c>
      <c r="L13" s="12" t="s">
        <v>30</v>
      </c>
      <c r="M13" s="12" t="s">
        <v>43</v>
      </c>
      <c r="N13" s="12"/>
      <c r="O13" s="12" t="s">
        <v>32</v>
      </c>
      <c r="P13" s="12" t="s">
        <v>101</v>
      </c>
      <c r="Q13" s="12" t="s">
        <v>102</v>
      </c>
      <c r="R13" s="12"/>
      <c r="S13" s="12" t="s">
        <v>32</v>
      </c>
      <c r="T13" s="12"/>
      <c r="U13" s="12" t="s">
        <v>32</v>
      </c>
      <c r="V13" s="2"/>
      <c r="W13" s="2"/>
      <c r="X13" s="2"/>
      <c r="Y13" s="2"/>
      <c r="Z13" s="2"/>
      <c r="AA13" s="3"/>
      <c r="AB13" s="1"/>
      <c r="AC13" s="1"/>
      <c r="AD13" s="1"/>
      <c r="AE13" s="1"/>
      <c r="AF13" s="1"/>
      <c r="AG13" s="1"/>
      <c r="AH13" s="1"/>
      <c r="AI13" s="1"/>
    </row>
    <row r="14" spans="1:35" ht="66">
      <c r="A14" s="1">
        <v>13</v>
      </c>
      <c r="B14" s="12" t="s">
        <v>21</v>
      </c>
      <c r="C14" s="13" t="s">
        <v>103</v>
      </c>
      <c r="D14" s="12" t="s">
        <v>104</v>
      </c>
      <c r="E14" s="12" t="s">
        <v>37</v>
      </c>
      <c r="F14" s="12" t="s">
        <v>105</v>
      </c>
      <c r="G14" s="12" t="s">
        <v>106</v>
      </c>
      <c r="H14" s="12" t="s">
        <v>107</v>
      </c>
      <c r="I14" s="12" t="s">
        <v>41</v>
      </c>
      <c r="J14" s="12" t="s">
        <v>108</v>
      </c>
      <c r="K14" s="12" t="s">
        <v>29</v>
      </c>
      <c r="L14" s="12" t="s">
        <v>30</v>
      </c>
      <c r="M14" s="12" t="s">
        <v>31</v>
      </c>
      <c r="N14" s="12" t="s">
        <v>109</v>
      </c>
      <c r="O14" s="12" t="s">
        <v>110</v>
      </c>
      <c r="P14" s="12" t="s">
        <v>111</v>
      </c>
      <c r="Q14" s="12" t="s">
        <v>112</v>
      </c>
      <c r="R14" s="12" t="s">
        <v>113</v>
      </c>
      <c r="S14" s="12" t="s">
        <v>114</v>
      </c>
      <c r="T14" s="12" t="s">
        <v>115</v>
      </c>
      <c r="U14" s="12" t="s">
        <v>114</v>
      </c>
      <c r="V14" s="2"/>
      <c r="W14" s="2"/>
      <c r="X14" s="2"/>
      <c r="Y14" s="2"/>
      <c r="Z14" s="2"/>
      <c r="AA14" s="3"/>
      <c r="AB14" s="1"/>
      <c r="AC14" s="1"/>
      <c r="AD14" s="1"/>
      <c r="AE14" s="1"/>
      <c r="AF14" s="1"/>
      <c r="AG14" s="1"/>
      <c r="AH14" s="1"/>
      <c r="AI14" s="1"/>
    </row>
    <row r="15" spans="1:35" ht="66">
      <c r="A15" s="1">
        <v>14</v>
      </c>
      <c r="B15" s="12" t="s">
        <v>21</v>
      </c>
      <c r="C15" s="13" t="s">
        <v>116</v>
      </c>
      <c r="D15" s="12" t="s">
        <v>117</v>
      </c>
      <c r="E15" s="12" t="s">
        <v>23</v>
      </c>
      <c r="F15" s="12" t="s">
        <v>105</v>
      </c>
      <c r="G15" s="12" t="s">
        <v>118</v>
      </c>
      <c r="H15" s="12" t="s">
        <v>107</v>
      </c>
      <c r="I15" s="12" t="s">
        <v>41</v>
      </c>
      <c r="J15" s="12" t="s">
        <v>119</v>
      </c>
      <c r="K15" s="12" t="s">
        <v>56</v>
      </c>
      <c r="L15" s="12" t="s">
        <v>32</v>
      </c>
      <c r="M15" s="12" t="s">
        <v>120</v>
      </c>
      <c r="N15" s="12" t="s">
        <v>121</v>
      </c>
      <c r="O15" s="12" t="s">
        <v>110</v>
      </c>
      <c r="P15" s="12" t="s">
        <v>122</v>
      </c>
      <c r="Q15" s="12" t="s">
        <v>123</v>
      </c>
      <c r="R15" s="12" t="s">
        <v>124</v>
      </c>
      <c r="S15" s="12" t="s">
        <v>125</v>
      </c>
      <c r="T15" s="12" t="s">
        <v>126</v>
      </c>
      <c r="U15" s="12" t="s">
        <v>125</v>
      </c>
      <c r="V15" s="2"/>
      <c r="W15" s="2"/>
      <c r="X15" s="2"/>
      <c r="Y15" s="2"/>
      <c r="Z15" s="2"/>
      <c r="AA15" s="3"/>
      <c r="AB15" s="1"/>
      <c r="AC15" s="1"/>
      <c r="AD15" s="1"/>
      <c r="AE15" s="1"/>
      <c r="AF15" s="1"/>
      <c r="AG15" s="1"/>
      <c r="AH15" s="1"/>
      <c r="AI15" s="1"/>
    </row>
    <row r="16" spans="1:35" s="1" customFormat="1" ht="66">
      <c r="A16" s="1">
        <v>15</v>
      </c>
      <c r="B16" s="12" t="s">
        <v>21</v>
      </c>
      <c r="C16" s="13" t="s">
        <v>127</v>
      </c>
      <c r="D16" s="12" t="s">
        <v>128</v>
      </c>
      <c r="E16" s="12" t="s">
        <v>23</v>
      </c>
      <c r="F16" s="12" t="s">
        <v>105</v>
      </c>
      <c r="G16" s="12" t="s">
        <v>129</v>
      </c>
      <c r="H16" s="12" t="s">
        <v>40</v>
      </c>
      <c r="I16" s="12" t="s">
        <v>72</v>
      </c>
      <c r="J16" s="12" t="s">
        <v>130</v>
      </c>
      <c r="K16" s="12" t="s">
        <v>29</v>
      </c>
      <c r="L16" s="12" t="s">
        <v>30</v>
      </c>
      <c r="M16" s="12" t="s">
        <v>31</v>
      </c>
      <c r="N16" s="12" t="s">
        <v>131</v>
      </c>
      <c r="O16" s="12" t="s">
        <v>132</v>
      </c>
      <c r="P16" s="12" t="s">
        <v>133</v>
      </c>
      <c r="Q16" s="12" t="s">
        <v>134</v>
      </c>
      <c r="R16" s="12" t="s">
        <v>135</v>
      </c>
      <c r="S16" s="12" t="s">
        <v>136</v>
      </c>
      <c r="T16" s="12" t="s">
        <v>137</v>
      </c>
      <c r="U16" s="12" t="s">
        <v>138</v>
      </c>
      <c r="V16" s="2"/>
      <c r="W16" s="2"/>
      <c r="X16" s="2"/>
      <c r="Y16" s="2"/>
      <c r="Z16" s="2"/>
      <c r="AA16" s="3"/>
    </row>
    <row r="17" spans="1:35" s="1" customFormat="1" ht="66">
      <c r="A17" s="1">
        <v>16</v>
      </c>
      <c r="B17" s="12" t="s">
        <v>21</v>
      </c>
      <c r="C17" s="13" t="s">
        <v>139</v>
      </c>
      <c r="D17" s="12" t="s">
        <v>140</v>
      </c>
      <c r="E17" s="12" t="s">
        <v>23</v>
      </c>
      <c r="F17" s="12" t="s">
        <v>105</v>
      </c>
      <c r="G17" s="12" t="s">
        <v>141</v>
      </c>
      <c r="H17" s="12" t="s">
        <v>26</v>
      </c>
      <c r="I17" s="12" t="s">
        <v>72</v>
      </c>
      <c r="J17" s="12" t="s">
        <v>142</v>
      </c>
      <c r="K17" s="12" t="s">
        <v>29</v>
      </c>
      <c r="L17" s="12" t="s">
        <v>30</v>
      </c>
      <c r="M17" s="12" t="s">
        <v>51</v>
      </c>
      <c r="N17" s="12" t="s">
        <v>143</v>
      </c>
      <c r="O17" s="12" t="s">
        <v>144</v>
      </c>
      <c r="P17" s="12" t="s">
        <v>145</v>
      </c>
      <c r="Q17" s="12" t="s">
        <v>146</v>
      </c>
      <c r="R17" s="12" t="s">
        <v>147</v>
      </c>
      <c r="S17" s="12" t="s">
        <v>148</v>
      </c>
      <c r="T17" s="12" t="s">
        <v>149</v>
      </c>
      <c r="U17" s="12" t="s">
        <v>150</v>
      </c>
      <c r="V17" s="2"/>
      <c r="W17" s="2"/>
      <c r="X17" s="2"/>
      <c r="Y17" s="2"/>
      <c r="Z17" s="2"/>
      <c r="AA17" s="3"/>
    </row>
    <row r="18" spans="1:35" s="1" customFormat="1" ht="39.950000000000003">
      <c r="A18" s="1">
        <v>17</v>
      </c>
      <c r="B18" s="12" t="s">
        <v>21</v>
      </c>
      <c r="C18" s="13" t="s">
        <v>151</v>
      </c>
      <c r="D18" s="12" t="s">
        <v>152</v>
      </c>
      <c r="E18" s="12" t="s">
        <v>37</v>
      </c>
      <c r="F18" s="12" t="s">
        <v>105</v>
      </c>
      <c r="G18" s="12" t="s">
        <v>153</v>
      </c>
      <c r="H18" s="12" t="s">
        <v>40</v>
      </c>
      <c r="I18" s="12" t="s">
        <v>72</v>
      </c>
      <c r="J18" s="12" t="s">
        <v>154</v>
      </c>
      <c r="K18" s="12" t="s">
        <v>56</v>
      </c>
      <c r="L18" s="12" t="s">
        <v>32</v>
      </c>
      <c r="M18" s="12" t="s">
        <v>120</v>
      </c>
      <c r="N18" s="12" t="s">
        <v>155</v>
      </c>
      <c r="O18" s="12" t="s">
        <v>132</v>
      </c>
      <c r="P18" s="12" t="s">
        <v>32</v>
      </c>
      <c r="Q18" s="12" t="s">
        <v>32</v>
      </c>
      <c r="R18" s="12" t="s">
        <v>156</v>
      </c>
      <c r="S18" s="12" t="s">
        <v>136</v>
      </c>
      <c r="T18" s="12" t="s">
        <v>32</v>
      </c>
      <c r="U18" s="12" t="s">
        <v>32</v>
      </c>
      <c r="V18" s="2"/>
      <c r="W18" s="2"/>
      <c r="X18" s="2"/>
      <c r="Y18" s="2"/>
      <c r="Z18" s="2"/>
      <c r="AA18" s="3"/>
    </row>
    <row r="19" spans="1:35" s="1" customFormat="1" ht="66">
      <c r="A19" s="1">
        <v>18</v>
      </c>
      <c r="B19" s="12" t="s">
        <v>21</v>
      </c>
      <c r="C19" s="13" t="s">
        <v>157</v>
      </c>
      <c r="D19" s="12" t="s">
        <v>158</v>
      </c>
      <c r="E19" s="12" t="s">
        <v>23</v>
      </c>
      <c r="F19" s="12" t="s">
        <v>105</v>
      </c>
      <c r="G19" s="12" t="s">
        <v>159</v>
      </c>
      <c r="H19" s="12" t="s">
        <v>40</v>
      </c>
      <c r="I19" s="12" t="s">
        <v>72</v>
      </c>
      <c r="J19" s="12" t="s">
        <v>160</v>
      </c>
      <c r="K19" s="12" t="s">
        <v>56</v>
      </c>
      <c r="L19" s="12" t="s">
        <v>32</v>
      </c>
      <c r="M19" s="12" t="s">
        <v>43</v>
      </c>
      <c r="N19" s="12" t="s">
        <v>161</v>
      </c>
      <c r="O19" s="12" t="s">
        <v>132</v>
      </c>
      <c r="P19" s="12" t="s">
        <v>162</v>
      </c>
      <c r="Q19" s="12" t="s">
        <v>134</v>
      </c>
      <c r="R19" s="12" t="s">
        <v>163</v>
      </c>
      <c r="S19" s="12" t="s">
        <v>164</v>
      </c>
      <c r="T19" s="12" t="s">
        <v>165</v>
      </c>
      <c r="U19" s="12" t="s">
        <v>150</v>
      </c>
      <c r="V19" s="2"/>
      <c r="W19" s="2"/>
      <c r="X19" s="2"/>
      <c r="Y19" s="2"/>
      <c r="Z19" s="2"/>
      <c r="AA19" s="3"/>
    </row>
    <row r="20" spans="1:35" s="1" customFormat="1" ht="53.1">
      <c r="A20" s="1">
        <v>19</v>
      </c>
      <c r="B20" s="12" t="s">
        <v>21</v>
      </c>
      <c r="C20" s="13" t="s">
        <v>166</v>
      </c>
      <c r="D20" s="12" t="s">
        <v>167</v>
      </c>
      <c r="E20" s="12" t="s">
        <v>23</v>
      </c>
      <c r="F20" s="12" t="s">
        <v>105</v>
      </c>
      <c r="G20" s="12" t="s">
        <v>129</v>
      </c>
      <c r="H20" s="12" t="s">
        <v>40</v>
      </c>
      <c r="I20" s="12" t="s">
        <v>72</v>
      </c>
      <c r="J20" s="12" t="s">
        <v>168</v>
      </c>
      <c r="K20" s="12" t="s">
        <v>29</v>
      </c>
      <c r="L20" s="12" t="s">
        <v>30</v>
      </c>
      <c r="M20" s="12" t="s">
        <v>51</v>
      </c>
      <c r="N20" s="12" t="s">
        <v>169</v>
      </c>
      <c r="O20" s="12" t="s">
        <v>32</v>
      </c>
      <c r="P20" s="12" t="s">
        <v>170</v>
      </c>
      <c r="Q20" s="12" t="s">
        <v>171</v>
      </c>
      <c r="R20" s="12" t="s">
        <v>172</v>
      </c>
      <c r="S20" s="12" t="s">
        <v>136</v>
      </c>
      <c r="T20" s="12" t="s">
        <v>173</v>
      </c>
      <c r="U20" s="12" t="s">
        <v>138</v>
      </c>
      <c r="V20" s="2"/>
      <c r="W20" s="2"/>
      <c r="X20" s="2"/>
      <c r="Y20" s="2"/>
      <c r="Z20" s="2"/>
      <c r="AA20" s="3"/>
    </row>
    <row r="21" spans="1:35" s="1" customFormat="1" ht="39.950000000000003">
      <c r="A21" s="1">
        <v>20</v>
      </c>
      <c r="B21" s="12" t="s">
        <v>21</v>
      </c>
      <c r="C21" s="13" t="s">
        <v>174</v>
      </c>
      <c r="D21" s="12" t="s">
        <v>175</v>
      </c>
      <c r="E21" s="12" t="s">
        <v>23</v>
      </c>
      <c r="F21" s="12" t="s">
        <v>105</v>
      </c>
      <c r="G21" s="12" t="s">
        <v>176</v>
      </c>
      <c r="H21" s="12" t="s">
        <v>40</v>
      </c>
      <c r="I21" s="12" t="s">
        <v>72</v>
      </c>
      <c r="J21" s="12" t="s">
        <v>177</v>
      </c>
      <c r="K21" s="12" t="s">
        <v>56</v>
      </c>
      <c r="L21" s="12" t="s">
        <v>32</v>
      </c>
      <c r="M21" s="12" t="s">
        <v>57</v>
      </c>
      <c r="N21" s="12" t="s">
        <v>178</v>
      </c>
      <c r="O21" s="12" t="s">
        <v>132</v>
      </c>
      <c r="P21" s="12" t="s">
        <v>179</v>
      </c>
      <c r="Q21" s="12" t="s">
        <v>146</v>
      </c>
      <c r="R21" s="12" t="s">
        <v>180</v>
      </c>
      <c r="S21" s="12" t="s">
        <v>125</v>
      </c>
      <c r="T21" s="12" t="s">
        <v>181</v>
      </c>
      <c r="U21" s="12" t="s">
        <v>125</v>
      </c>
      <c r="V21" s="2"/>
      <c r="W21" s="2"/>
      <c r="X21" s="2"/>
      <c r="Y21" s="2"/>
      <c r="Z21" s="2"/>
      <c r="AA21" s="3"/>
    </row>
    <row r="22" spans="1:35" s="1" customFormat="1" ht="27">
      <c r="A22" s="1">
        <v>21</v>
      </c>
      <c r="B22" s="12" t="s">
        <v>21</v>
      </c>
      <c r="C22" s="13" t="s">
        <v>182</v>
      </c>
      <c r="D22" s="12" t="s">
        <v>183</v>
      </c>
      <c r="E22" s="12" t="s">
        <v>23</v>
      </c>
      <c r="F22" s="12" t="s">
        <v>105</v>
      </c>
      <c r="G22" s="12" t="s">
        <v>184</v>
      </c>
      <c r="H22" s="12" t="s">
        <v>62</v>
      </c>
      <c r="I22" s="12" t="s">
        <v>72</v>
      </c>
      <c r="J22" s="12" t="s">
        <v>185</v>
      </c>
      <c r="K22" s="12" t="s">
        <v>56</v>
      </c>
      <c r="L22" s="12" t="s">
        <v>32</v>
      </c>
      <c r="M22" s="12" t="s">
        <v>120</v>
      </c>
      <c r="N22" s="12" t="s">
        <v>186</v>
      </c>
      <c r="O22" s="12" t="s">
        <v>132</v>
      </c>
      <c r="P22" s="12" t="s">
        <v>187</v>
      </c>
      <c r="Q22" s="12" t="s">
        <v>146</v>
      </c>
      <c r="R22" s="12" t="s">
        <v>188</v>
      </c>
      <c r="S22" s="12" t="s">
        <v>125</v>
      </c>
      <c r="T22" s="12" t="s">
        <v>189</v>
      </c>
      <c r="U22" s="12" t="s">
        <v>32</v>
      </c>
      <c r="V22" s="2"/>
      <c r="W22" s="2"/>
      <c r="X22" s="2"/>
      <c r="Y22" s="2"/>
      <c r="Z22" s="2"/>
      <c r="AA22" s="3"/>
    </row>
    <row r="23" spans="1:35" s="1" customFormat="1" ht="53.1">
      <c r="A23" s="1">
        <v>22</v>
      </c>
      <c r="B23" s="12" t="s">
        <v>21</v>
      </c>
      <c r="C23" s="13" t="s">
        <v>190</v>
      </c>
      <c r="D23" s="12" t="s">
        <v>191</v>
      </c>
      <c r="E23" s="12" t="s">
        <v>192</v>
      </c>
      <c r="F23" s="12" t="s">
        <v>105</v>
      </c>
      <c r="G23" s="12" t="s">
        <v>193</v>
      </c>
      <c r="H23" s="12" t="s">
        <v>40</v>
      </c>
      <c r="I23" s="12" t="s">
        <v>72</v>
      </c>
      <c r="J23" s="12" t="s">
        <v>130</v>
      </c>
      <c r="K23" s="12" t="s">
        <v>29</v>
      </c>
      <c r="L23" s="12" t="s">
        <v>30</v>
      </c>
      <c r="M23" s="12" t="s">
        <v>51</v>
      </c>
      <c r="N23" s="12" t="s">
        <v>194</v>
      </c>
      <c r="O23" s="12" t="s">
        <v>132</v>
      </c>
      <c r="P23" s="12" t="s">
        <v>195</v>
      </c>
      <c r="Q23" s="12" t="s">
        <v>134</v>
      </c>
      <c r="R23" s="12" t="s">
        <v>196</v>
      </c>
      <c r="S23" s="12" t="s">
        <v>148</v>
      </c>
      <c r="T23" s="12" t="s">
        <v>197</v>
      </c>
      <c r="U23" s="12" t="s">
        <v>198</v>
      </c>
      <c r="V23" s="2"/>
      <c r="W23" s="2"/>
      <c r="X23" s="2"/>
      <c r="Y23" s="2"/>
      <c r="Z23" s="2"/>
      <c r="AA23" s="3"/>
    </row>
    <row r="24" spans="1:35" s="1" customFormat="1" ht="53.1">
      <c r="A24" s="1">
        <v>23</v>
      </c>
      <c r="B24" s="12" t="s">
        <v>21</v>
      </c>
      <c r="C24" s="13" t="s">
        <v>199</v>
      </c>
      <c r="D24" s="12" t="s">
        <v>200</v>
      </c>
      <c r="E24" s="12" t="s">
        <v>192</v>
      </c>
      <c r="F24" s="12" t="s">
        <v>38</v>
      </c>
      <c r="G24" s="12" t="s">
        <v>48</v>
      </c>
      <c r="H24" s="12" t="s">
        <v>48</v>
      </c>
      <c r="I24" s="12" t="s">
        <v>49</v>
      </c>
      <c r="J24" s="12" t="s">
        <v>201</v>
      </c>
      <c r="K24" s="12" t="s">
        <v>29</v>
      </c>
      <c r="L24" s="12" t="s">
        <v>80</v>
      </c>
      <c r="M24" s="12" t="s">
        <v>43</v>
      </c>
      <c r="N24" s="12" t="s">
        <v>202</v>
      </c>
      <c r="O24" s="12" t="s">
        <v>203</v>
      </c>
      <c r="P24" s="12" t="s">
        <v>204</v>
      </c>
      <c r="Q24" s="12" t="s">
        <v>34</v>
      </c>
      <c r="R24" s="12" t="s">
        <v>205</v>
      </c>
      <c r="S24" s="12" t="s">
        <v>206</v>
      </c>
      <c r="T24" s="12" t="s">
        <v>207</v>
      </c>
      <c r="U24" s="12" t="s">
        <v>208</v>
      </c>
      <c r="V24" s="2"/>
      <c r="W24" s="2"/>
      <c r="X24" s="2"/>
      <c r="Y24" s="2"/>
      <c r="Z24" s="2"/>
      <c r="AA24" s="3"/>
    </row>
    <row r="25" spans="1:35" s="1" customFormat="1" ht="53.1">
      <c r="A25" s="1">
        <v>24</v>
      </c>
      <c r="B25" s="12" t="s">
        <v>21</v>
      </c>
      <c r="C25" s="13" t="s">
        <v>209</v>
      </c>
      <c r="D25" s="12" t="s">
        <v>210</v>
      </c>
      <c r="E25" s="12" t="s">
        <v>192</v>
      </c>
      <c r="F25" s="12" t="s">
        <v>38</v>
      </c>
      <c r="G25" s="12" t="s">
        <v>211</v>
      </c>
      <c r="H25" s="12" t="s">
        <v>212</v>
      </c>
      <c r="I25" s="12" t="s">
        <v>72</v>
      </c>
      <c r="J25" s="12" t="s">
        <v>213</v>
      </c>
      <c r="K25" s="12" t="s">
        <v>56</v>
      </c>
      <c r="L25" s="12" t="s">
        <v>30</v>
      </c>
      <c r="M25" s="12" t="s">
        <v>51</v>
      </c>
      <c r="N25" s="12" t="s">
        <v>134</v>
      </c>
      <c r="O25" s="12" t="s">
        <v>132</v>
      </c>
      <c r="P25" s="12" t="s">
        <v>32</v>
      </c>
      <c r="Q25" s="12" t="s">
        <v>32</v>
      </c>
      <c r="R25" s="12" t="s">
        <v>214</v>
      </c>
      <c r="S25" s="12" t="s">
        <v>215</v>
      </c>
      <c r="T25" s="12" t="s">
        <v>216</v>
      </c>
      <c r="U25" s="12" t="s">
        <v>125</v>
      </c>
      <c r="V25" s="2"/>
      <c r="W25" s="2"/>
      <c r="X25" s="2"/>
      <c r="Y25" s="2"/>
      <c r="Z25" s="2"/>
      <c r="AA25" s="3"/>
    </row>
    <row r="26" spans="1:35" s="1" customFormat="1" ht="78.95">
      <c r="A26" s="1">
        <v>25</v>
      </c>
      <c r="B26" s="12" t="s">
        <v>21</v>
      </c>
      <c r="C26" s="13" t="s">
        <v>217</v>
      </c>
      <c r="D26" s="12" t="s">
        <v>218</v>
      </c>
      <c r="E26" s="12" t="s">
        <v>192</v>
      </c>
      <c r="F26" s="12" t="s">
        <v>38</v>
      </c>
      <c r="G26" s="12" t="s">
        <v>219</v>
      </c>
      <c r="H26" s="12" t="s">
        <v>48</v>
      </c>
      <c r="I26" s="12" t="s">
        <v>49</v>
      </c>
      <c r="J26" s="12" t="s">
        <v>201</v>
      </c>
      <c r="K26" s="12" t="s">
        <v>29</v>
      </c>
      <c r="L26" s="12" t="s">
        <v>30</v>
      </c>
      <c r="M26" s="12" t="s">
        <v>51</v>
      </c>
      <c r="N26" s="12" t="s">
        <v>220</v>
      </c>
      <c r="O26" s="12" t="s">
        <v>221</v>
      </c>
      <c r="P26" s="12" t="s">
        <v>222</v>
      </c>
      <c r="Q26" s="12" t="s">
        <v>34</v>
      </c>
      <c r="R26" s="12" t="s">
        <v>223</v>
      </c>
      <c r="S26" s="12" t="s">
        <v>136</v>
      </c>
      <c r="T26" s="12" t="s">
        <v>224</v>
      </c>
      <c r="U26" s="12" t="s">
        <v>208</v>
      </c>
      <c r="V26" s="2"/>
      <c r="W26" s="2"/>
      <c r="X26" s="2"/>
      <c r="Y26" s="2"/>
      <c r="Z26" s="2"/>
      <c r="AA26" s="3"/>
    </row>
    <row r="27" spans="1:35" ht="66">
      <c r="A27" s="1">
        <v>26</v>
      </c>
      <c r="B27" s="12" t="s">
        <v>21</v>
      </c>
      <c r="C27" s="13" t="s">
        <v>225</v>
      </c>
      <c r="D27" s="12" t="s">
        <v>226</v>
      </c>
      <c r="E27" s="12" t="s">
        <v>192</v>
      </c>
      <c r="F27" s="12" t="s">
        <v>105</v>
      </c>
      <c r="G27" s="12" t="s">
        <v>227</v>
      </c>
      <c r="H27" s="12" t="s">
        <v>26</v>
      </c>
      <c r="I27" s="12" t="s">
        <v>41</v>
      </c>
      <c r="J27" s="12" t="s">
        <v>228</v>
      </c>
      <c r="K27" s="12" t="s">
        <v>29</v>
      </c>
      <c r="L27" s="12" t="s">
        <v>30</v>
      </c>
      <c r="M27" s="12" t="s">
        <v>51</v>
      </c>
      <c r="N27" s="12" t="s">
        <v>229</v>
      </c>
      <c r="O27" s="12" t="s">
        <v>230</v>
      </c>
      <c r="P27" s="12" t="s">
        <v>231</v>
      </c>
      <c r="Q27" s="12" t="s">
        <v>134</v>
      </c>
      <c r="R27" s="12" t="s">
        <v>232</v>
      </c>
      <c r="S27" s="12" t="s">
        <v>148</v>
      </c>
      <c r="T27" s="12" t="s">
        <v>233</v>
      </c>
      <c r="U27" s="12" t="s">
        <v>234</v>
      </c>
      <c r="V27" s="2"/>
      <c r="W27" s="2"/>
      <c r="X27" s="2"/>
      <c r="Y27" s="2"/>
      <c r="Z27" s="2"/>
      <c r="AA27" s="3"/>
      <c r="AB27" s="1"/>
      <c r="AC27" s="1"/>
      <c r="AD27" s="1"/>
      <c r="AE27" s="1"/>
      <c r="AF27" s="1"/>
      <c r="AG27" s="1"/>
      <c r="AH27" s="1"/>
      <c r="AI27" s="1"/>
    </row>
    <row r="28" spans="1:35" ht="53.1">
      <c r="A28" s="1">
        <v>27</v>
      </c>
      <c r="B28" s="12" t="s">
        <v>235</v>
      </c>
      <c r="C28" s="13" t="s">
        <v>236</v>
      </c>
      <c r="D28" s="12" t="s">
        <v>237</v>
      </c>
      <c r="E28" s="12" t="s">
        <v>192</v>
      </c>
      <c r="F28" s="12" t="s">
        <v>105</v>
      </c>
      <c r="G28" s="12" t="s">
        <v>238</v>
      </c>
      <c r="H28" s="12" t="s">
        <v>48</v>
      </c>
      <c r="I28" s="12" t="s">
        <v>41</v>
      </c>
      <c r="J28" s="12" t="s">
        <v>239</v>
      </c>
      <c r="K28" s="12" t="s">
        <v>29</v>
      </c>
      <c r="L28" s="12" t="s">
        <v>80</v>
      </c>
      <c r="M28" s="12" t="s">
        <v>31</v>
      </c>
      <c r="N28" s="12" t="s">
        <v>240</v>
      </c>
      <c r="O28" s="12" t="s">
        <v>241</v>
      </c>
      <c r="P28" s="12" t="s">
        <v>242</v>
      </c>
      <c r="Q28" s="12" t="s">
        <v>32</v>
      </c>
      <c r="R28" s="12" t="s">
        <v>243</v>
      </c>
      <c r="S28" s="12" t="s">
        <v>114</v>
      </c>
      <c r="T28" s="12" t="s">
        <v>244</v>
      </c>
      <c r="U28" s="12" t="s">
        <v>114</v>
      </c>
      <c r="V28" s="2"/>
      <c r="W28" s="2"/>
      <c r="X28" s="2"/>
      <c r="Y28" s="2"/>
      <c r="Z28" s="2"/>
      <c r="AA28" s="3"/>
      <c r="AB28" s="1"/>
      <c r="AC28" s="1"/>
      <c r="AD28" s="1"/>
      <c r="AE28" s="1"/>
      <c r="AF28" s="1"/>
      <c r="AG28" s="1"/>
      <c r="AH28" s="1"/>
      <c r="AI28" s="1"/>
    </row>
    <row r="29" spans="1:35" s="1" customFormat="1" ht="39.950000000000003">
      <c r="A29" s="1">
        <v>28</v>
      </c>
      <c r="B29" s="12" t="s">
        <v>21</v>
      </c>
      <c r="C29" s="13" t="s">
        <v>245</v>
      </c>
      <c r="D29" s="12" t="s">
        <v>246</v>
      </c>
      <c r="E29" s="12" t="s">
        <v>192</v>
      </c>
      <c r="F29" s="12" t="s">
        <v>105</v>
      </c>
      <c r="G29" s="12" t="s">
        <v>247</v>
      </c>
      <c r="H29" s="12" t="s">
        <v>40</v>
      </c>
      <c r="I29" s="12" t="s">
        <v>72</v>
      </c>
      <c r="J29" s="12" t="s">
        <v>185</v>
      </c>
      <c r="K29" s="12" t="s">
        <v>29</v>
      </c>
      <c r="L29" s="12" t="s">
        <v>248</v>
      </c>
      <c r="M29" s="12" t="s">
        <v>31</v>
      </c>
      <c r="N29" s="12" t="s">
        <v>249</v>
      </c>
      <c r="O29" s="12" t="s">
        <v>250</v>
      </c>
      <c r="P29" s="12" t="s">
        <v>251</v>
      </c>
      <c r="Q29" s="12" t="s">
        <v>134</v>
      </c>
      <c r="R29" s="12" t="s">
        <v>252</v>
      </c>
      <c r="S29" s="12" t="s">
        <v>136</v>
      </c>
      <c r="T29" s="12" t="s">
        <v>253</v>
      </c>
      <c r="U29" s="12" t="s">
        <v>254</v>
      </c>
      <c r="V29" s="2"/>
      <c r="W29" s="2"/>
      <c r="X29" s="2"/>
      <c r="Y29" s="2"/>
      <c r="Z29" s="2"/>
      <c r="AA29" s="3"/>
    </row>
    <row r="30" spans="1:35" s="1" customFormat="1" ht="66">
      <c r="A30" s="1">
        <v>29</v>
      </c>
      <c r="B30" s="12" t="s">
        <v>21</v>
      </c>
      <c r="C30" s="13" t="s">
        <v>255</v>
      </c>
      <c r="D30" s="12" t="s">
        <v>256</v>
      </c>
      <c r="E30" s="12" t="s">
        <v>192</v>
      </c>
      <c r="F30" s="12" t="s">
        <v>38</v>
      </c>
      <c r="G30" s="12" t="s">
        <v>47</v>
      </c>
      <c r="H30" s="12" t="s">
        <v>48</v>
      </c>
      <c r="I30" s="12" t="s">
        <v>49</v>
      </c>
      <c r="J30" s="12" t="s">
        <v>201</v>
      </c>
      <c r="K30" s="12" t="s">
        <v>29</v>
      </c>
      <c r="L30" s="12" t="s">
        <v>80</v>
      </c>
      <c r="M30" s="12" t="s">
        <v>51</v>
      </c>
      <c r="N30" s="12" t="s">
        <v>257</v>
      </c>
      <c r="O30" s="12" t="s">
        <v>203</v>
      </c>
      <c r="P30" s="12" t="s">
        <v>258</v>
      </c>
      <c r="Q30" s="12" t="s">
        <v>259</v>
      </c>
      <c r="R30" s="12" t="s">
        <v>260</v>
      </c>
      <c r="S30" s="12" t="s">
        <v>261</v>
      </c>
      <c r="T30" s="12" t="s">
        <v>32</v>
      </c>
      <c r="U30" s="12" t="s">
        <v>32</v>
      </c>
      <c r="V30" s="2"/>
      <c r="W30" s="2"/>
      <c r="X30" s="2"/>
      <c r="Y30" s="2"/>
      <c r="Z30" s="2"/>
      <c r="AA30" s="3"/>
    </row>
    <row r="31" spans="1:35" s="1" customFormat="1" ht="92.1">
      <c r="A31" s="1">
        <v>30</v>
      </c>
      <c r="B31" s="12" t="s">
        <v>235</v>
      </c>
      <c r="C31" s="13" t="s">
        <v>262</v>
      </c>
      <c r="D31" s="12" t="s">
        <v>263</v>
      </c>
      <c r="E31" s="12" t="s">
        <v>264</v>
      </c>
      <c r="F31" s="12" t="s">
        <v>105</v>
      </c>
      <c r="G31" s="12" t="s">
        <v>265</v>
      </c>
      <c r="H31" s="12" t="s">
        <v>266</v>
      </c>
      <c r="I31" s="12" t="s">
        <v>27</v>
      </c>
      <c r="J31" s="12" t="s">
        <v>267</v>
      </c>
      <c r="K31" s="12" t="s">
        <v>29</v>
      </c>
      <c r="L31" s="12" t="s">
        <v>30</v>
      </c>
      <c r="M31" s="12" t="s">
        <v>31</v>
      </c>
      <c r="N31" s="12" t="s">
        <v>268</v>
      </c>
      <c r="O31" s="12" t="s">
        <v>221</v>
      </c>
      <c r="P31" s="12" t="s">
        <v>269</v>
      </c>
      <c r="Q31" s="12" t="s">
        <v>34</v>
      </c>
      <c r="R31" s="12" t="s">
        <v>270</v>
      </c>
      <c r="S31" s="12" t="s">
        <v>136</v>
      </c>
      <c r="T31" s="12" t="s">
        <v>271</v>
      </c>
      <c r="U31" s="12" t="s">
        <v>114</v>
      </c>
      <c r="V31" s="2"/>
      <c r="W31" s="2"/>
      <c r="X31" s="2"/>
      <c r="Y31" s="2"/>
      <c r="Z31" s="2"/>
      <c r="AA31" s="3"/>
    </row>
    <row r="32" spans="1:35" s="1" customFormat="1" ht="66">
      <c r="A32" s="1">
        <v>31</v>
      </c>
      <c r="B32" s="12" t="s">
        <v>21</v>
      </c>
      <c r="C32" s="13">
        <v>45980.658888888887</v>
      </c>
      <c r="D32" s="12" t="s">
        <v>272</v>
      </c>
      <c r="E32" s="12" t="s">
        <v>61</v>
      </c>
      <c r="F32" s="12" t="s">
        <v>24</v>
      </c>
      <c r="G32" s="12" t="s">
        <v>273</v>
      </c>
      <c r="H32" s="12" t="s">
        <v>274</v>
      </c>
      <c r="I32" s="12" t="s">
        <v>27</v>
      </c>
      <c r="J32" s="12" t="s">
        <v>275</v>
      </c>
      <c r="K32" s="12" t="s">
        <v>29</v>
      </c>
      <c r="L32" s="12" t="s">
        <v>30</v>
      </c>
      <c r="M32" s="12" t="s">
        <v>31</v>
      </c>
      <c r="N32" s="12" t="s">
        <v>276</v>
      </c>
      <c r="O32" s="12" t="s">
        <v>277</v>
      </c>
      <c r="P32" s="12" t="s">
        <v>278</v>
      </c>
      <c r="Q32" s="12" t="s">
        <v>59</v>
      </c>
      <c r="R32" s="12" t="s">
        <v>279</v>
      </c>
      <c r="S32" s="12" t="s">
        <v>280</v>
      </c>
      <c r="T32" s="12" t="s">
        <v>281</v>
      </c>
      <c r="U32" s="12" t="s">
        <v>136</v>
      </c>
      <c r="V32" s="2"/>
      <c r="W32" s="2"/>
      <c r="X32" s="2"/>
      <c r="Y32" s="2"/>
      <c r="Z32" s="2"/>
      <c r="AA32" s="3"/>
    </row>
    <row r="33" spans="1:35" ht="53.1">
      <c r="A33" s="1">
        <v>32</v>
      </c>
      <c r="B33" s="12" t="s">
        <v>235</v>
      </c>
      <c r="C33" s="13">
        <v>45980.762233796297</v>
      </c>
      <c r="D33" s="12" t="s">
        <v>282</v>
      </c>
      <c r="E33" s="12" t="s">
        <v>61</v>
      </c>
      <c r="F33" s="12" t="s">
        <v>38</v>
      </c>
      <c r="G33" s="12" t="s">
        <v>283</v>
      </c>
      <c r="H33" s="12" t="s">
        <v>284</v>
      </c>
      <c r="I33" s="12" t="s">
        <v>41</v>
      </c>
      <c r="J33" s="12" t="s">
        <v>285</v>
      </c>
      <c r="K33" s="12" t="s">
        <v>56</v>
      </c>
      <c r="L33" s="12" t="s">
        <v>30</v>
      </c>
      <c r="M33" s="12" t="s">
        <v>31</v>
      </c>
      <c r="N33" s="12" t="s">
        <v>286</v>
      </c>
      <c r="O33" s="12" t="s">
        <v>144</v>
      </c>
      <c r="P33" s="12" t="s">
        <v>287</v>
      </c>
      <c r="Q33" s="12" t="s">
        <v>34</v>
      </c>
      <c r="R33" s="12" t="s">
        <v>288</v>
      </c>
      <c r="S33" s="12" t="s">
        <v>280</v>
      </c>
      <c r="T33" s="12" t="s">
        <v>289</v>
      </c>
      <c r="U33" s="12" t="s">
        <v>136</v>
      </c>
      <c r="V33" s="2"/>
      <c r="W33" s="2"/>
      <c r="X33" s="2"/>
      <c r="Y33" s="2"/>
      <c r="Z33" s="2"/>
      <c r="AA33" s="3"/>
      <c r="AB33" s="1"/>
      <c r="AC33" s="1"/>
      <c r="AD33" s="1"/>
      <c r="AE33" s="1"/>
      <c r="AF33" s="1"/>
      <c r="AG33" s="1"/>
      <c r="AH33" s="1"/>
      <c r="AI33" s="1"/>
    </row>
    <row r="34" spans="1:35" s="1" customFormat="1" ht="53.1">
      <c r="A34" s="1">
        <v>33</v>
      </c>
      <c r="B34" s="12" t="s">
        <v>21</v>
      </c>
      <c r="C34" s="13">
        <v>45981.535567129627</v>
      </c>
      <c r="D34" s="12" t="s">
        <v>290</v>
      </c>
      <c r="E34" s="12" t="s">
        <v>37</v>
      </c>
      <c r="F34" s="12" t="s">
        <v>38</v>
      </c>
      <c r="G34" s="12" t="s">
        <v>291</v>
      </c>
      <c r="H34" s="12" t="s">
        <v>85</v>
      </c>
      <c r="I34" s="12" t="s">
        <v>27</v>
      </c>
      <c r="J34" s="12" t="s">
        <v>94</v>
      </c>
      <c r="K34" s="12" t="s">
        <v>29</v>
      </c>
      <c r="L34" s="12" t="s">
        <v>32</v>
      </c>
      <c r="M34" s="12" t="s">
        <v>120</v>
      </c>
      <c r="N34" s="12" t="s">
        <v>292</v>
      </c>
      <c r="O34" s="12" t="s">
        <v>293</v>
      </c>
      <c r="P34" s="12" t="s">
        <v>294</v>
      </c>
      <c r="Q34" s="12" t="s">
        <v>295</v>
      </c>
      <c r="R34" s="12" t="s">
        <v>296</v>
      </c>
      <c r="S34" s="12" t="s">
        <v>125</v>
      </c>
      <c r="T34" s="12" t="s">
        <v>296</v>
      </c>
      <c r="U34" s="12" t="s">
        <v>125</v>
      </c>
      <c r="V34" s="2"/>
      <c r="W34" s="2"/>
      <c r="X34" s="2"/>
      <c r="Y34" s="2"/>
      <c r="Z34" s="2"/>
      <c r="AA34" s="3"/>
    </row>
    <row r="35" spans="1:35" ht="78.95">
      <c r="A35" s="1">
        <v>34</v>
      </c>
      <c r="B35" s="12" t="s">
        <v>235</v>
      </c>
      <c r="C35" s="13">
        <v>45981.650381944448</v>
      </c>
      <c r="D35" s="12" t="s">
        <v>297</v>
      </c>
      <c r="E35" s="12" t="s">
        <v>23</v>
      </c>
      <c r="F35" s="12" t="s">
        <v>24</v>
      </c>
      <c r="G35" s="12" t="s">
        <v>298</v>
      </c>
      <c r="H35" s="12" t="s">
        <v>274</v>
      </c>
      <c r="I35" s="12" t="s">
        <v>41</v>
      </c>
      <c r="J35" s="12" t="s">
        <v>299</v>
      </c>
      <c r="K35" s="12" t="s">
        <v>29</v>
      </c>
      <c r="L35" s="12" t="s">
        <v>30</v>
      </c>
      <c r="M35" s="12" t="s">
        <v>43</v>
      </c>
      <c r="N35" s="12" t="s">
        <v>300</v>
      </c>
      <c r="O35" s="12" t="s">
        <v>301</v>
      </c>
      <c r="P35" s="12" t="s">
        <v>274</v>
      </c>
      <c r="Q35" s="12" t="s">
        <v>34</v>
      </c>
      <c r="R35" s="12" t="s">
        <v>302</v>
      </c>
      <c r="S35" s="12" t="s">
        <v>280</v>
      </c>
      <c r="T35" s="12" t="s">
        <v>303</v>
      </c>
      <c r="U35" s="12" t="s">
        <v>208</v>
      </c>
      <c r="V35" s="2"/>
      <c r="W35" s="2"/>
      <c r="X35" s="2"/>
      <c r="Y35" s="2"/>
      <c r="Z35" s="2"/>
      <c r="AA35" s="3"/>
      <c r="AB35" s="1"/>
      <c r="AC35" s="1"/>
      <c r="AD35" s="1"/>
      <c r="AE35" s="1"/>
      <c r="AF35" s="1"/>
      <c r="AG35" s="1"/>
      <c r="AH35" s="1"/>
      <c r="AI35" s="1"/>
    </row>
    <row r="36" spans="1:35" s="1" customFormat="1" ht="53.1">
      <c r="A36" s="1">
        <v>35</v>
      </c>
      <c r="B36" s="12" t="s">
        <v>235</v>
      </c>
      <c r="C36" s="13" t="s">
        <v>304</v>
      </c>
      <c r="D36" s="12" t="s">
        <v>305</v>
      </c>
      <c r="E36" s="12" t="s">
        <v>61</v>
      </c>
      <c r="F36" s="12" t="s">
        <v>38</v>
      </c>
      <c r="G36" s="12" t="s">
        <v>306</v>
      </c>
      <c r="H36" s="12" t="s">
        <v>284</v>
      </c>
      <c r="I36" s="12" t="s">
        <v>49</v>
      </c>
      <c r="J36" s="12" t="s">
        <v>307</v>
      </c>
      <c r="K36" s="12" t="s">
        <v>29</v>
      </c>
      <c r="L36" s="12" t="s">
        <v>80</v>
      </c>
      <c r="M36" s="12" t="s">
        <v>308</v>
      </c>
      <c r="N36" s="12" t="s">
        <v>309</v>
      </c>
      <c r="O36" s="12" t="s">
        <v>310</v>
      </c>
      <c r="P36" s="12" t="s">
        <v>311</v>
      </c>
      <c r="Q36" s="12" t="s">
        <v>34</v>
      </c>
      <c r="R36" s="12" t="s">
        <v>312</v>
      </c>
      <c r="S36" s="12" t="s">
        <v>148</v>
      </c>
      <c r="T36" s="12" t="s">
        <v>313</v>
      </c>
      <c r="U36" s="12" t="s">
        <v>208</v>
      </c>
      <c r="V36" s="2"/>
      <c r="W36" s="2"/>
      <c r="X36" s="2"/>
      <c r="Y36" s="2"/>
      <c r="Z36" s="2"/>
      <c r="AA36" s="3"/>
    </row>
    <row r="37" spans="1:35" ht="53.1">
      <c r="A37" s="1">
        <v>36</v>
      </c>
      <c r="B37" s="12" t="s">
        <v>235</v>
      </c>
      <c r="C37" s="13" t="s">
        <v>314</v>
      </c>
      <c r="D37" s="12" t="s">
        <v>315</v>
      </c>
      <c r="E37" s="12" t="s">
        <v>61</v>
      </c>
      <c r="F37" s="12" t="s">
        <v>38</v>
      </c>
      <c r="G37" s="12" t="s">
        <v>316</v>
      </c>
      <c r="H37" s="12" t="s">
        <v>266</v>
      </c>
      <c r="I37" s="12" t="s">
        <v>41</v>
      </c>
      <c r="J37" s="12" t="s">
        <v>317</v>
      </c>
      <c r="K37" s="12" t="s">
        <v>29</v>
      </c>
      <c r="L37" s="12" t="s">
        <v>80</v>
      </c>
      <c r="M37" s="12" t="s">
        <v>31</v>
      </c>
      <c r="N37" s="12" t="s">
        <v>318</v>
      </c>
      <c r="O37" s="12" t="s">
        <v>319</v>
      </c>
      <c r="P37" s="12" t="s">
        <v>320</v>
      </c>
      <c r="Q37" s="12" t="s">
        <v>34</v>
      </c>
      <c r="R37" s="12" t="s">
        <v>321</v>
      </c>
      <c r="S37" s="12" t="s">
        <v>280</v>
      </c>
      <c r="T37" s="12" t="s">
        <v>322</v>
      </c>
      <c r="U37" s="12" t="s">
        <v>208</v>
      </c>
      <c r="V37" s="2"/>
      <c r="W37" s="2"/>
      <c r="X37" s="2"/>
      <c r="Y37" s="2"/>
      <c r="Z37" s="2"/>
      <c r="AA37" s="3"/>
      <c r="AB37" s="1"/>
      <c r="AC37" s="1"/>
      <c r="AD37" s="1"/>
      <c r="AE37" s="1"/>
      <c r="AF37" s="1"/>
      <c r="AG37" s="1"/>
      <c r="AH37" s="1"/>
      <c r="AI37" s="1"/>
    </row>
    <row r="38" spans="1:35" s="1" customFormat="1" ht="53.1">
      <c r="A38" s="1">
        <v>37</v>
      </c>
      <c r="B38" s="12" t="s">
        <v>235</v>
      </c>
      <c r="C38" s="13" t="s">
        <v>323</v>
      </c>
      <c r="D38" s="12" t="s">
        <v>324</v>
      </c>
      <c r="E38" s="12" t="s">
        <v>61</v>
      </c>
      <c r="F38" s="12" t="s">
        <v>325</v>
      </c>
      <c r="G38" s="12" t="s">
        <v>326</v>
      </c>
      <c r="H38" s="12" t="s">
        <v>62</v>
      </c>
      <c r="I38" s="12" t="s">
        <v>41</v>
      </c>
      <c r="J38" s="12" t="s">
        <v>327</v>
      </c>
      <c r="K38" s="12" t="s">
        <v>56</v>
      </c>
      <c r="L38" s="12" t="s">
        <v>80</v>
      </c>
      <c r="M38" s="12" t="s">
        <v>31</v>
      </c>
      <c r="N38" s="12" t="s">
        <v>328</v>
      </c>
      <c r="O38" s="12" t="s">
        <v>144</v>
      </c>
      <c r="P38" s="12" t="s">
        <v>329</v>
      </c>
      <c r="Q38" s="12" t="s">
        <v>330</v>
      </c>
      <c r="R38" s="12" t="s">
        <v>331</v>
      </c>
      <c r="S38" s="12" t="s">
        <v>148</v>
      </c>
      <c r="T38" s="12" t="s">
        <v>332</v>
      </c>
      <c r="U38" s="12" t="s">
        <v>333</v>
      </c>
      <c r="V38" s="2"/>
      <c r="W38" s="2"/>
      <c r="X38" s="2"/>
      <c r="Y38" s="2"/>
      <c r="Z38" s="2"/>
      <c r="AA38" s="3"/>
    </row>
    <row r="39" spans="1:35" ht="39.950000000000003">
      <c r="A39" s="1">
        <v>38</v>
      </c>
      <c r="B39" s="12" t="s">
        <v>235</v>
      </c>
      <c r="C39" s="13" t="s">
        <v>334</v>
      </c>
      <c r="D39" s="12" t="s">
        <v>335</v>
      </c>
      <c r="E39" s="12" t="s">
        <v>61</v>
      </c>
      <c r="F39" s="12" t="s">
        <v>24</v>
      </c>
      <c r="G39" s="12" t="s">
        <v>336</v>
      </c>
      <c r="H39" s="12" t="s">
        <v>62</v>
      </c>
      <c r="I39" s="12" t="s">
        <v>41</v>
      </c>
      <c r="J39" s="12" t="s">
        <v>337</v>
      </c>
      <c r="K39" s="12" t="s">
        <v>29</v>
      </c>
      <c r="L39" s="12" t="s">
        <v>32</v>
      </c>
      <c r="M39" s="12" t="s">
        <v>31</v>
      </c>
      <c r="N39" s="12" t="s">
        <v>338</v>
      </c>
      <c r="O39" s="12" t="s">
        <v>221</v>
      </c>
      <c r="P39" s="12" t="s">
        <v>339</v>
      </c>
      <c r="Q39" s="12" t="s">
        <v>34</v>
      </c>
      <c r="R39" s="12" t="s">
        <v>340</v>
      </c>
      <c r="S39" s="12" t="s">
        <v>125</v>
      </c>
      <c r="T39" s="12" t="s">
        <v>341</v>
      </c>
      <c r="U39" s="12" t="s">
        <v>125</v>
      </c>
      <c r="V39" s="2"/>
      <c r="W39" s="2"/>
      <c r="X39" s="2"/>
      <c r="Y39" s="2"/>
      <c r="Z39" s="2"/>
      <c r="AA39" s="3"/>
      <c r="AB39" s="1"/>
      <c r="AC39" s="1"/>
      <c r="AD39" s="1"/>
      <c r="AE39" s="1"/>
      <c r="AF39" s="1"/>
      <c r="AG39" s="1"/>
      <c r="AH39" s="1"/>
      <c r="AI39" s="1"/>
    </row>
    <row r="40" spans="1:35" s="1" customFormat="1" ht="92.1">
      <c r="A40" s="1">
        <v>39</v>
      </c>
      <c r="B40" s="12" t="s">
        <v>235</v>
      </c>
      <c r="C40" s="13" t="s">
        <v>342</v>
      </c>
      <c r="D40" s="12" t="s">
        <v>343</v>
      </c>
      <c r="E40" s="12" t="s">
        <v>61</v>
      </c>
      <c r="F40" s="12" t="s">
        <v>38</v>
      </c>
      <c r="G40" s="12" t="s">
        <v>344</v>
      </c>
      <c r="H40" s="12" t="s">
        <v>284</v>
      </c>
      <c r="I40" s="12" t="s">
        <v>41</v>
      </c>
      <c r="J40" s="12" t="s">
        <v>345</v>
      </c>
      <c r="K40" s="12" t="s">
        <v>56</v>
      </c>
      <c r="L40" s="12" t="s">
        <v>80</v>
      </c>
      <c r="M40" s="12" t="s">
        <v>31</v>
      </c>
      <c r="N40" s="12" t="s">
        <v>346</v>
      </c>
      <c r="O40" s="12" t="s">
        <v>310</v>
      </c>
      <c r="P40" s="12" t="s">
        <v>347</v>
      </c>
      <c r="Q40" s="12" t="s">
        <v>348</v>
      </c>
      <c r="R40" s="12" t="s">
        <v>349</v>
      </c>
      <c r="S40" s="12" t="s">
        <v>215</v>
      </c>
      <c r="T40" s="12" t="s">
        <v>350</v>
      </c>
      <c r="U40" s="12" t="s">
        <v>351</v>
      </c>
      <c r="V40" s="2"/>
      <c r="W40" s="2"/>
      <c r="X40" s="2"/>
      <c r="Y40" s="2"/>
      <c r="Z40" s="2"/>
      <c r="AA40" s="3"/>
    </row>
    <row r="41" spans="1:35" s="1" customFormat="1" ht="53.1">
      <c r="A41" s="1">
        <v>40</v>
      </c>
      <c r="B41" s="12" t="s">
        <v>235</v>
      </c>
      <c r="C41" s="13" t="s">
        <v>352</v>
      </c>
      <c r="D41" s="12" t="s">
        <v>335</v>
      </c>
      <c r="E41" s="12" t="s">
        <v>264</v>
      </c>
      <c r="F41" s="12" t="s">
        <v>105</v>
      </c>
      <c r="G41" s="12" t="s">
        <v>353</v>
      </c>
      <c r="H41" s="12" t="s">
        <v>353</v>
      </c>
      <c r="I41" s="12" t="s">
        <v>49</v>
      </c>
      <c r="J41" s="12" t="s">
        <v>354</v>
      </c>
      <c r="K41" s="12" t="s">
        <v>29</v>
      </c>
      <c r="L41" s="12" t="s">
        <v>32</v>
      </c>
      <c r="M41" s="12" t="s">
        <v>31</v>
      </c>
      <c r="N41" s="12" t="s">
        <v>355</v>
      </c>
      <c r="O41" s="12" t="s">
        <v>144</v>
      </c>
      <c r="P41" s="12" t="s">
        <v>356</v>
      </c>
      <c r="Q41" s="12" t="s">
        <v>146</v>
      </c>
      <c r="R41" s="12" t="s">
        <v>357</v>
      </c>
      <c r="S41" s="12" t="s">
        <v>358</v>
      </c>
      <c r="T41" s="12" t="s">
        <v>359</v>
      </c>
      <c r="U41" s="12" t="s">
        <v>360</v>
      </c>
      <c r="V41" s="2"/>
      <c r="W41" s="2"/>
      <c r="X41" s="2"/>
      <c r="Y41" s="2"/>
      <c r="Z41" s="2"/>
      <c r="AA41" s="3"/>
    </row>
    <row r="42" spans="1:35" ht="53.1">
      <c r="A42" s="1">
        <v>41</v>
      </c>
      <c r="B42" s="12" t="s">
        <v>235</v>
      </c>
      <c r="C42" s="13" t="s">
        <v>361</v>
      </c>
      <c r="D42" s="12" t="s">
        <v>362</v>
      </c>
      <c r="E42" s="12" t="s">
        <v>61</v>
      </c>
      <c r="F42" s="12" t="s">
        <v>105</v>
      </c>
      <c r="G42" s="12" t="s">
        <v>266</v>
      </c>
      <c r="H42" s="12" t="s">
        <v>266</v>
      </c>
      <c r="I42" s="12" t="s">
        <v>41</v>
      </c>
      <c r="J42" s="12" t="s">
        <v>108</v>
      </c>
      <c r="K42" s="12" t="s">
        <v>29</v>
      </c>
      <c r="L42" s="12" t="s">
        <v>30</v>
      </c>
      <c r="M42" s="12" t="s">
        <v>43</v>
      </c>
      <c r="N42" s="12" t="s">
        <v>363</v>
      </c>
      <c r="O42" s="12" t="s">
        <v>277</v>
      </c>
      <c r="P42" s="12" t="s">
        <v>364</v>
      </c>
      <c r="Q42" s="12" t="s">
        <v>112</v>
      </c>
      <c r="R42" s="12" t="s">
        <v>365</v>
      </c>
      <c r="S42" s="12" t="s">
        <v>136</v>
      </c>
      <c r="T42" s="12" t="s">
        <v>366</v>
      </c>
      <c r="U42" s="12" t="s">
        <v>367</v>
      </c>
      <c r="V42" s="2"/>
      <c r="W42" s="2"/>
      <c r="X42" s="2"/>
      <c r="Y42" s="2"/>
      <c r="Z42" s="2"/>
      <c r="AA42" s="3"/>
      <c r="AB42" s="1"/>
      <c r="AC42" s="1"/>
      <c r="AD42" s="1"/>
      <c r="AE42" s="1"/>
      <c r="AF42" s="1"/>
      <c r="AG42" s="1"/>
      <c r="AH42" s="1"/>
      <c r="AI42" s="1"/>
    </row>
    <row r="43" spans="1:35" ht="66">
      <c r="A43" s="1">
        <v>42</v>
      </c>
      <c r="B43" s="12" t="s">
        <v>235</v>
      </c>
      <c r="C43" s="13" t="s">
        <v>368</v>
      </c>
      <c r="D43" s="12" t="s">
        <v>369</v>
      </c>
      <c r="E43" s="12" t="s">
        <v>192</v>
      </c>
      <c r="F43" s="12" t="s">
        <v>105</v>
      </c>
      <c r="G43" s="12" t="s">
        <v>306</v>
      </c>
      <c r="H43" s="12" t="s">
        <v>284</v>
      </c>
      <c r="I43" s="12" t="s">
        <v>41</v>
      </c>
      <c r="J43" s="12" t="s">
        <v>370</v>
      </c>
      <c r="K43" s="12" t="s">
        <v>29</v>
      </c>
      <c r="L43" s="12" t="s">
        <v>80</v>
      </c>
      <c r="M43" s="12" t="s">
        <v>31</v>
      </c>
      <c r="N43" s="12" t="s">
        <v>371</v>
      </c>
      <c r="O43" s="12" t="s">
        <v>372</v>
      </c>
      <c r="P43" s="12" t="s">
        <v>373</v>
      </c>
      <c r="Q43" s="12" t="s">
        <v>374</v>
      </c>
      <c r="R43" s="12" t="s">
        <v>375</v>
      </c>
      <c r="S43" s="12" t="s">
        <v>148</v>
      </c>
      <c r="T43" s="12" t="s">
        <v>376</v>
      </c>
      <c r="U43" s="12" t="s">
        <v>377</v>
      </c>
      <c r="V43" s="2"/>
      <c r="W43" s="2"/>
      <c r="X43" s="2"/>
      <c r="Y43" s="2"/>
      <c r="Z43" s="2"/>
      <c r="AA43" s="3"/>
      <c r="AB43" s="1"/>
      <c r="AC43" s="1"/>
      <c r="AD43" s="1"/>
      <c r="AE43" s="1"/>
      <c r="AF43" s="1"/>
      <c r="AG43" s="1"/>
      <c r="AH43" s="1"/>
      <c r="AI43" s="1"/>
    </row>
    <row r="44" spans="1:35" ht="209.1">
      <c r="A44" s="1">
        <v>43</v>
      </c>
      <c r="B44" s="12" t="s">
        <v>235</v>
      </c>
      <c r="C44" s="13" t="s">
        <v>378</v>
      </c>
      <c r="D44" s="12" t="s">
        <v>379</v>
      </c>
      <c r="E44" s="12" t="s">
        <v>192</v>
      </c>
      <c r="F44" s="12" t="s">
        <v>105</v>
      </c>
      <c r="G44" s="12" t="s">
        <v>380</v>
      </c>
      <c r="H44" s="12" t="s">
        <v>381</v>
      </c>
      <c r="I44" s="12" t="s">
        <v>41</v>
      </c>
      <c r="J44" s="12" t="s">
        <v>382</v>
      </c>
      <c r="K44" s="12" t="s">
        <v>29</v>
      </c>
      <c r="L44" s="12" t="s">
        <v>32</v>
      </c>
      <c r="M44" s="12" t="s">
        <v>31</v>
      </c>
      <c r="N44" s="12" t="s">
        <v>383</v>
      </c>
      <c r="O44" s="12" t="s">
        <v>310</v>
      </c>
      <c r="P44" s="12" t="s">
        <v>384</v>
      </c>
      <c r="Q44" s="12" t="s">
        <v>34</v>
      </c>
      <c r="R44" s="12" t="s">
        <v>385</v>
      </c>
      <c r="S44" s="12" t="s">
        <v>148</v>
      </c>
      <c r="T44" s="12" t="s">
        <v>386</v>
      </c>
      <c r="U44" s="12" t="s">
        <v>387</v>
      </c>
      <c r="V44" s="2"/>
      <c r="W44" s="2"/>
      <c r="X44" s="2"/>
      <c r="Y44" s="2"/>
      <c r="Z44" s="2"/>
      <c r="AA44" s="3"/>
      <c r="AB44" s="1"/>
      <c r="AC44" s="1"/>
      <c r="AD44" s="1"/>
      <c r="AE44" s="1"/>
      <c r="AF44" s="1"/>
      <c r="AG44" s="1"/>
      <c r="AH44" s="1"/>
      <c r="AI44" s="1"/>
    </row>
    <row r="45" spans="1:35" ht="131.1">
      <c r="A45" s="1">
        <v>44</v>
      </c>
      <c r="B45" s="12" t="s">
        <v>235</v>
      </c>
      <c r="C45" s="13" t="s">
        <v>388</v>
      </c>
      <c r="D45" s="12" t="s">
        <v>389</v>
      </c>
      <c r="E45" s="12" t="s">
        <v>192</v>
      </c>
      <c r="F45" s="12" t="s">
        <v>38</v>
      </c>
      <c r="G45" s="12" t="s">
        <v>390</v>
      </c>
      <c r="H45" s="12" t="s">
        <v>274</v>
      </c>
      <c r="I45" s="12" t="s">
        <v>41</v>
      </c>
      <c r="J45" s="12" t="s">
        <v>391</v>
      </c>
      <c r="K45" s="12" t="s">
        <v>29</v>
      </c>
      <c r="L45" s="12" t="s">
        <v>392</v>
      </c>
      <c r="M45" s="12" t="s">
        <v>43</v>
      </c>
      <c r="N45" s="12" t="s">
        <v>393</v>
      </c>
      <c r="O45" s="12" t="s">
        <v>310</v>
      </c>
      <c r="P45" s="12" t="s">
        <v>394</v>
      </c>
      <c r="Q45" s="12" t="s">
        <v>146</v>
      </c>
      <c r="R45" s="12" t="s">
        <v>395</v>
      </c>
      <c r="S45" s="12" t="s">
        <v>396</v>
      </c>
      <c r="T45" s="12" t="s">
        <v>397</v>
      </c>
      <c r="U45" s="12" t="s">
        <v>398</v>
      </c>
      <c r="V45" s="2"/>
      <c r="W45" s="2"/>
      <c r="X45" s="2"/>
      <c r="Y45" s="2"/>
      <c r="Z45" s="2"/>
      <c r="AA45" s="3"/>
      <c r="AB45" s="1"/>
      <c r="AC45" s="1"/>
      <c r="AD45" s="1"/>
      <c r="AE45" s="1"/>
      <c r="AF45" s="1"/>
      <c r="AG45" s="1"/>
      <c r="AH45" s="1"/>
      <c r="AI45" s="1"/>
    </row>
    <row r="46" spans="1:35">
      <c r="G46"/>
      <c r="J46"/>
      <c r="L46" s="12"/>
      <c r="M46" s="12"/>
      <c r="N46" s="12"/>
      <c r="O46" s="12"/>
    </row>
    <row r="47" spans="1:35">
      <c r="G47"/>
      <c r="J47"/>
      <c r="M47"/>
    </row>
    <row r="48" spans="1:35">
      <c r="G48" s="21"/>
      <c r="J48"/>
      <c r="M48"/>
    </row>
    <row r="49" spans="10:13">
      <c r="J49"/>
      <c r="M49"/>
    </row>
    <row r="50" spans="10:13">
      <c r="J50"/>
      <c r="M50"/>
    </row>
    <row r="51" spans="10:13">
      <c r="M51"/>
    </row>
    <row r="52" spans="10:13">
      <c r="M52"/>
    </row>
  </sheetData>
  <autoFilter ref="B1:U44" xr:uid="{00000000-0001-0000-0000-000000000000}"/>
  <dataValidations count="1">
    <dataValidation allowBlank="1" showInputMessage="1" showErrorMessage="1" sqref="Q1:Q1048576 I1:I1048576 O1:P1 R1:U1 H1:H1048576" xr:uid="{27E0409A-C731-440A-A1CC-EED686156024}"/>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promptTitle="admin" xr:uid="{480236AF-49B6-4B8B-8E9E-525DBD83335E}">
          <x14:formula1>
            <xm:f>Results!$Y$2:$Y$10</xm:f>
          </x14:formula1>
          <xm:sqref>O46:P1048576 O2:P44</xm:sqref>
        </x14:dataValidation>
        <x14:dataValidation type="list" allowBlank="1" showInputMessage="1" showErrorMessage="1" xr:uid="{6D32435B-B775-49CB-A50C-3BFB2FE746F3}">
          <x14:formula1>
            <xm:f>Results!$AB$2:$AB$11</xm:f>
          </x14:formula1>
          <xm:sqref>R49:R1048576 R44 R46:R47 R2:R40 R42</xm:sqref>
        </x14:dataValidation>
        <x14:dataValidation type="list" allowBlank="1" showInputMessage="1" showErrorMessage="1" xr:uid="{4E69842B-AB58-4356-A6A9-217A30F99224}">
          <x14:formula1>
            <xm:f>Results!$AE$2:$AE$9</xm:f>
          </x14:formula1>
          <xm:sqref>S46:T1048576 S2:T42</xm:sqref>
        </x14:dataValidation>
        <x14:dataValidation type="list" allowBlank="1" showInputMessage="1" showErrorMessage="1" xr:uid="{136DEA93-DC3D-489A-A549-58D44FA77C0A}">
          <x14:formula1>
            <xm:f>Results!$AH$2:$AH$9</xm:f>
          </x14:formula1>
          <xm:sqref>U46:U1048576 U2:U42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4137-D064-463A-BA47-751607DB4BCD}">
  <dimension ref="A1:AO30"/>
  <sheetViews>
    <sheetView tabSelected="1" topLeftCell="S1" workbookViewId="0">
      <selection activeCell="W2" sqref="W2"/>
    </sheetView>
  </sheetViews>
  <sheetFormatPr defaultColWidth="8.7109375" defaultRowHeight="15"/>
  <cols>
    <col min="1" max="1" width="8.7109375" style="17"/>
    <col min="2" max="2" width="8.7109375" style="8"/>
    <col min="3" max="3" width="8.7109375" style="23"/>
    <col min="4" max="4" width="8.7109375" style="6"/>
    <col min="5" max="5" width="8.7109375" style="8"/>
    <col min="6" max="6" width="8.7109375" style="23"/>
    <col min="7" max="7" width="8.7109375" style="6"/>
    <col min="8" max="8" width="8.7109375" style="8"/>
    <col min="9" max="9" width="8.7109375" style="23"/>
    <col min="10" max="10" width="8.7109375" style="6"/>
    <col min="11" max="11" width="8.7109375" style="8"/>
    <col min="12" max="12" width="8.7109375" style="23"/>
    <col min="13" max="13" width="8.7109375" style="7"/>
    <col min="14" max="14" width="8.7109375" style="8"/>
    <col min="15" max="15" width="8.7109375" style="23"/>
    <col min="16" max="16" width="8.7109375" style="6"/>
    <col min="17" max="17" width="8.7109375" style="8"/>
    <col min="18" max="18" width="8.7109375" style="23"/>
    <col min="19" max="19" width="8.7109375" style="6"/>
    <col min="20" max="20" width="8.7109375" style="8"/>
    <col min="21" max="21" width="8.7109375" style="23"/>
    <col min="22" max="22" width="8.7109375" style="6"/>
    <col min="23" max="23" width="8.7109375" style="8"/>
    <col min="24" max="24" width="8.7109375" style="23"/>
    <col min="25" max="25" width="8.7109375" style="4"/>
    <col min="26" max="26" width="8.7109375" style="8"/>
    <col min="27" max="27" width="8.7109375" style="23"/>
    <col min="28" max="28" width="8.7109375" style="6"/>
    <col min="29" max="29" width="8.7109375" style="8"/>
    <col min="30" max="30" width="9.28515625" style="23" bestFit="1" customWidth="1"/>
    <col min="31" max="31" width="8.7109375" style="6"/>
    <col min="32" max="32" width="8.7109375" style="8"/>
    <col min="33" max="33" width="8.7109375" style="23"/>
    <col min="34" max="34" width="8.7109375" style="6"/>
    <col min="35" max="35" width="8.7109375" style="8"/>
    <col min="36" max="36" width="8.7109375" style="23"/>
    <col min="37" max="16384" width="8.7109375" style="8"/>
  </cols>
  <sheetData>
    <row r="1" spans="1:41" ht="48">
      <c r="A1" s="27" t="s">
        <v>399</v>
      </c>
      <c r="B1" s="8" t="s">
        <v>400</v>
      </c>
      <c r="C1" s="23" t="s">
        <v>401</v>
      </c>
      <c r="D1" s="28" t="s">
        <v>4</v>
      </c>
      <c r="E1" s="8" t="s">
        <v>400</v>
      </c>
      <c r="F1" s="23" t="s">
        <v>401</v>
      </c>
      <c r="G1" s="29" t="s">
        <v>402</v>
      </c>
      <c r="H1" s="8" t="s">
        <v>400</v>
      </c>
      <c r="I1" s="23" t="s">
        <v>401</v>
      </c>
      <c r="J1" s="28" t="s">
        <v>6</v>
      </c>
      <c r="K1" s="8" t="s">
        <v>400</v>
      </c>
      <c r="L1" s="23" t="s">
        <v>401</v>
      </c>
      <c r="M1" s="28" t="s">
        <v>9</v>
      </c>
      <c r="N1" s="8" t="s">
        <v>400</v>
      </c>
      <c r="O1" s="23" t="s">
        <v>401</v>
      </c>
      <c r="P1" s="29" t="s">
        <v>403</v>
      </c>
      <c r="Q1" s="8" t="s">
        <v>400</v>
      </c>
      <c r="R1" s="23" t="s">
        <v>401</v>
      </c>
      <c r="S1" s="29" t="s">
        <v>404</v>
      </c>
      <c r="T1" s="8" t="s">
        <v>400</v>
      </c>
      <c r="U1" s="23" t="s">
        <v>401</v>
      </c>
      <c r="V1" s="29" t="s">
        <v>405</v>
      </c>
      <c r="W1" s="8" t="s">
        <v>400</v>
      </c>
      <c r="X1" s="23" t="s">
        <v>401</v>
      </c>
      <c r="Y1" s="29" t="s">
        <v>406</v>
      </c>
      <c r="Z1" s="8" t="s">
        <v>400</v>
      </c>
      <c r="AA1" s="23" t="s">
        <v>401</v>
      </c>
      <c r="AB1" s="29" t="s">
        <v>407</v>
      </c>
      <c r="AC1" s="8" t="s">
        <v>400</v>
      </c>
      <c r="AD1" s="23" t="s">
        <v>401</v>
      </c>
      <c r="AE1" s="29" t="s">
        <v>408</v>
      </c>
      <c r="AF1" s="8" t="s">
        <v>400</v>
      </c>
      <c r="AG1" s="23" t="s">
        <v>401</v>
      </c>
      <c r="AH1" s="29" t="s">
        <v>409</v>
      </c>
      <c r="AI1" s="8" t="s">
        <v>400</v>
      </c>
      <c r="AJ1" s="23" t="s">
        <v>401</v>
      </c>
      <c r="AK1" s="30"/>
      <c r="AL1" s="30"/>
      <c r="AM1" s="30"/>
      <c r="AN1" s="9"/>
      <c r="AO1" s="9"/>
    </row>
    <row r="2" spans="1:41" ht="55.5" customHeight="1">
      <c r="A2" s="26" t="s">
        <v>410</v>
      </c>
      <c r="B2" s="5">
        <f>COUNTIF(all_answers!B:B, all_answers!B34)</f>
        <v>30</v>
      </c>
      <c r="C2" s="24">
        <f>_xlfn.PERCENTOF(B2,B4)</f>
        <v>0.68181818181818177</v>
      </c>
      <c r="D2" s="6" t="s">
        <v>23</v>
      </c>
      <c r="E2" s="5">
        <f>COUNTIF(all_answers!E:E, D2)</f>
        <v>15</v>
      </c>
      <c r="F2" s="24">
        <f>_xlfn.PERCENTOF(E2,$E$7)</f>
        <v>0.34090909090909088</v>
      </c>
      <c r="G2" s="7" t="s">
        <v>38</v>
      </c>
      <c r="H2" s="5">
        <f>COUNTIF(all_answers!F:F, "*Spanish*")+COUNTIF(all_answers!F:F, "*Catalan*")</f>
        <v>27</v>
      </c>
      <c r="I2" s="24">
        <f>_xlfn.PERCENTOF(H2,$H$4)</f>
        <v>0.6</v>
      </c>
      <c r="J2" s="7" t="s">
        <v>40</v>
      </c>
      <c r="K2" s="5">
        <f>COUNTIF(all_answers!H:H, J2)</f>
        <v>9</v>
      </c>
      <c r="L2" s="24">
        <f>_xlfn.PERCENTOF(K2,$K$17)</f>
        <v>0.20454545454545456</v>
      </c>
      <c r="M2" s="7" t="s">
        <v>41</v>
      </c>
      <c r="N2" s="5">
        <f>COUNTIF(all_answers!I:I, Results!M2)</f>
        <v>19</v>
      </c>
      <c r="O2" s="24">
        <f>_xlfn.PERCENTOF(N2, $N$6)</f>
        <v>0.43181818181818182</v>
      </c>
      <c r="P2" s="6" t="s">
        <v>29</v>
      </c>
      <c r="Q2" s="5">
        <f>COUNTIF(all_answers!K:K, "yes")</f>
        <v>33</v>
      </c>
      <c r="R2" s="23">
        <f>_xlfn.PERCENTOF(Q2,$Q$4)</f>
        <v>0.75</v>
      </c>
      <c r="S2" s="6" t="s">
        <v>411</v>
      </c>
      <c r="T2" s="5">
        <f>COUNTIF(all_answers!L:L, all_answers!L23) + COUNTIF(all_answers!L:L,all_answers!L45)</f>
        <v>22</v>
      </c>
      <c r="U2" s="24">
        <f>_xlfn.PERCENTOF(T2,$T$7)</f>
        <v>0.48888888888888887</v>
      </c>
      <c r="V2" s="6" t="s">
        <v>46</v>
      </c>
      <c r="W2" s="5">
        <f>COUNTIF(all_answers!M:M, all_answers!M39)</f>
        <v>15</v>
      </c>
      <c r="X2" s="24">
        <f>_xlfn.PERCENTOF(W2, $W$8)</f>
        <v>0.34090909090909088</v>
      </c>
      <c r="Y2" s="31" t="s">
        <v>132</v>
      </c>
      <c r="Z2" s="5">
        <f>COUNTIF(all_answers!O:O, "*administrative*")</f>
        <v>11</v>
      </c>
      <c r="AA2" s="24">
        <f>_xlfn.PERCENTOF(Z2, $Z$11)</f>
        <v>0.2</v>
      </c>
      <c r="AB2" s="7" t="s">
        <v>34</v>
      </c>
      <c r="AC2" s="5">
        <f>COUNTIF(all_answers!Q:Q, "*Technical/scientific*")</f>
        <v>17</v>
      </c>
      <c r="AD2" s="24">
        <f t="shared" ref="AD2:AD10" si="0">_xlfn.PERCENTOF(AC2, $AC$11)</f>
        <v>0.31481481481481483</v>
      </c>
      <c r="AE2" s="7" t="s">
        <v>148</v>
      </c>
      <c r="AF2" s="5">
        <f>COUNTIF(all_answers!S:S, "*Accuracy/true/correctness*")</f>
        <v>9</v>
      </c>
      <c r="AG2" s="24">
        <f>_xlfn.PERCENTOF(AF2,$AF$11)</f>
        <v>0.19148936170212766</v>
      </c>
      <c r="AH2" s="6" t="s">
        <v>208</v>
      </c>
      <c r="AI2" s="5">
        <f>COUNTIF(all_answers!U:U, "*Accuracy/gram*")</f>
        <v>9</v>
      </c>
      <c r="AJ2" s="24">
        <f t="shared" ref="AJ2:AJ15" si="1">_xlfn.PERCENTOF(AI2, $AI$16)</f>
        <v>0.16981132075471697</v>
      </c>
    </row>
    <row r="3" spans="1:41" ht="55.5" customHeight="1">
      <c r="A3" s="26" t="s">
        <v>412</v>
      </c>
      <c r="B3" s="8">
        <f>COUNTIF(all_answers!B:B, all_answers!B40)</f>
        <v>14</v>
      </c>
      <c r="C3" s="24">
        <f>_xlfn.PERCENTOF(B3,B4)</f>
        <v>0.31818181818181818</v>
      </c>
      <c r="D3" s="6" t="s">
        <v>192</v>
      </c>
      <c r="E3" s="8">
        <f>COUNTIF(all_answers!E:E, D3)</f>
        <v>11</v>
      </c>
      <c r="F3" s="24">
        <f>_xlfn.PERCENTOF(E3,$E$7)</f>
        <v>0.25</v>
      </c>
      <c r="G3" s="7" t="s">
        <v>105</v>
      </c>
      <c r="H3" s="8">
        <f>COUNTIF(all_answers!F:F, "Italian")</f>
        <v>18</v>
      </c>
      <c r="I3" s="24">
        <f>_xlfn.PERCENTOF(H3,$H$4)</f>
        <v>0.4</v>
      </c>
      <c r="J3" s="7" t="s">
        <v>48</v>
      </c>
      <c r="K3" s="8">
        <f>COUNTIF(all_answers!H:H, J3)</f>
        <v>6</v>
      </c>
      <c r="L3" s="24">
        <f>_xlfn.PERCENTOF(K3,$K$17)</f>
        <v>0.13636363636363635</v>
      </c>
      <c r="M3" s="4" t="s">
        <v>72</v>
      </c>
      <c r="N3" s="8">
        <f>COUNTIF(all_answers!I:I, Results!M3)</f>
        <v>12</v>
      </c>
      <c r="O3" s="24">
        <f>_xlfn.PERCENTOF(N3, $N$6)</f>
        <v>0.27272727272727271</v>
      </c>
      <c r="P3" s="6" t="s">
        <v>56</v>
      </c>
      <c r="Q3" s="8">
        <f>COUNTIF(all_answers!K:K, "no")</f>
        <v>11</v>
      </c>
      <c r="R3" s="23">
        <f>_xlfn.PERCENTOF(Q3,$Q$4)</f>
        <v>0.25</v>
      </c>
      <c r="S3" s="6" t="s">
        <v>413</v>
      </c>
      <c r="T3" s="8">
        <f>COUNTIF(all_answers!L:L, all_answers!L28) + COUNTIF(all_answers!L:L,all_answers!L45)</f>
        <v>10</v>
      </c>
      <c r="U3" s="24">
        <f t="shared" ref="U3:U6" si="2">_xlfn.PERCENTOF(T3,$T$7)</f>
        <v>0.22222222222222221</v>
      </c>
      <c r="V3" s="6" t="s">
        <v>414</v>
      </c>
      <c r="W3" s="8">
        <f>COUNTIF(all_answers!M:M, all_answers!M35)</f>
        <v>13</v>
      </c>
      <c r="X3" s="24">
        <f t="shared" ref="X3:X7" si="3">_xlfn.PERCENTOF(W3, $W$8)</f>
        <v>0.29545454545454547</v>
      </c>
      <c r="Y3" s="31" t="s">
        <v>277</v>
      </c>
      <c r="Z3" s="8">
        <f>COUNTIF(all_answers!O:O, "*management*")</f>
        <v>8</v>
      </c>
      <c r="AA3" s="24">
        <f t="shared" ref="AA3:AA10" si="4">_xlfn.PERCENTOF(Z3, $Z$11)</f>
        <v>0.14545454545454545</v>
      </c>
      <c r="AB3" s="7" t="s">
        <v>134</v>
      </c>
      <c r="AC3" s="8">
        <f>COUNTIF(all_answers!Q:Q, "*Administrative*")</f>
        <v>11</v>
      </c>
      <c r="AD3" s="24">
        <f t="shared" si="0"/>
        <v>0.20370370370370369</v>
      </c>
      <c r="AE3" s="7" t="s">
        <v>136</v>
      </c>
      <c r="AF3" s="5">
        <f>COUNTIF(all_answers!S:S, "*Understand/be understood*")</f>
        <v>9</v>
      </c>
      <c r="AG3" s="24">
        <f t="shared" ref="AG3:AG10" si="5">_xlfn.PERCENTOF(AF3,$AF$11)</f>
        <v>0.19148936170212766</v>
      </c>
      <c r="AH3" s="6" t="s">
        <v>136</v>
      </c>
      <c r="AI3" s="8">
        <f>COUNTIF(all_answers!U:U, "*Understand/be understood*")</f>
        <v>5</v>
      </c>
      <c r="AJ3" s="24">
        <f t="shared" si="1"/>
        <v>9.4339622641509441E-2</v>
      </c>
    </row>
    <row r="4" spans="1:41" ht="55.5" customHeight="1">
      <c r="A4" s="22" t="s">
        <v>415</v>
      </c>
      <c r="B4" s="8">
        <f>SUM(B2:B3)</f>
        <v>44</v>
      </c>
      <c r="D4" s="6" t="s">
        <v>61</v>
      </c>
      <c r="E4" s="8">
        <f>COUNTIF(all_answers!E:E, D4)</f>
        <v>10</v>
      </c>
      <c r="F4" s="24">
        <f>_xlfn.PERCENTOF(E4,$E$7)</f>
        <v>0.22727272727272727</v>
      </c>
      <c r="G4" s="22" t="s">
        <v>415</v>
      </c>
      <c r="H4" s="8">
        <f>SUM(H2:H3)</f>
        <v>45</v>
      </c>
      <c r="I4" s="24"/>
      <c r="J4" s="7" t="s">
        <v>62</v>
      </c>
      <c r="K4" s="8">
        <f>COUNTIF(all_answers!H:H, J4)</f>
        <v>4</v>
      </c>
      <c r="L4" s="24">
        <f>_xlfn.PERCENTOF(K4,$K$17)</f>
        <v>9.0909090909090912E-2</v>
      </c>
      <c r="M4" s="7" t="s">
        <v>27</v>
      </c>
      <c r="N4" s="8">
        <f>COUNTIF(all_answers!I:I, Results!M4)</f>
        <v>7</v>
      </c>
      <c r="O4" s="24">
        <f>_xlfn.PERCENTOF(N4, $N$6)</f>
        <v>0.15909090909090909</v>
      </c>
      <c r="P4" s="22" t="s">
        <v>415</v>
      </c>
      <c r="Q4" s="8">
        <f>SUM(Q2:Q3)</f>
        <v>44</v>
      </c>
      <c r="S4" s="6" t="s">
        <v>32</v>
      </c>
      <c r="T4" s="8">
        <f>COUNTIF(all_answers!L:L, all_answers!L44)</f>
        <v>11</v>
      </c>
      <c r="U4" s="24">
        <f t="shared" si="2"/>
        <v>0.24444444444444444</v>
      </c>
      <c r="V4" s="6" t="s">
        <v>416</v>
      </c>
      <c r="W4" s="8">
        <f>COUNTIF(all_answers!M:M, all_answers!M30)</f>
        <v>8</v>
      </c>
      <c r="X4" s="24">
        <f t="shared" si="3"/>
        <v>0.18181818181818182</v>
      </c>
      <c r="Y4" s="31" t="s">
        <v>417</v>
      </c>
      <c r="Z4" s="8">
        <f>COUNTIF(all_answers!O:O, "*marketing*")</f>
        <v>6</v>
      </c>
      <c r="AA4" s="24">
        <f t="shared" si="4"/>
        <v>0.10909090909090909</v>
      </c>
      <c r="AB4" s="7" t="s">
        <v>146</v>
      </c>
      <c r="AC4" s="8">
        <f>COUNTIF(all_answers!Q:Q, "*Written informal*")</f>
        <v>8</v>
      </c>
      <c r="AD4" s="24">
        <f t="shared" si="0"/>
        <v>0.14814814814814814</v>
      </c>
      <c r="AE4" s="7" t="s">
        <v>125</v>
      </c>
      <c r="AF4" s="8">
        <f>COUNTIF(all_answers!S:S, "*don't use*")</f>
        <v>6</v>
      </c>
      <c r="AG4" s="24">
        <f t="shared" si="5"/>
        <v>0.1276595744680851</v>
      </c>
      <c r="AH4" s="6" t="s">
        <v>418</v>
      </c>
      <c r="AI4" s="8">
        <f>COUNTIF(all_answers!U:U, "*terminology*")</f>
        <v>5</v>
      </c>
      <c r="AJ4" s="24">
        <f t="shared" si="1"/>
        <v>9.4339622641509441E-2</v>
      </c>
    </row>
    <row r="5" spans="1:41" ht="55.5" customHeight="1">
      <c r="D5" s="6" t="s">
        <v>37</v>
      </c>
      <c r="E5" s="8">
        <f>COUNTIF(all_answers!E:E, D5)</f>
        <v>6</v>
      </c>
      <c r="F5" s="24">
        <f>_xlfn.PERCENTOF(E5,$E$7)</f>
        <v>0.13636363636363635</v>
      </c>
      <c r="H5" s="9" t="s">
        <v>419</v>
      </c>
      <c r="J5" s="6" t="s">
        <v>284</v>
      </c>
      <c r="K5" s="8">
        <f>COUNTIF(all_answers!H:H, J5)</f>
        <v>4</v>
      </c>
      <c r="L5" s="24">
        <f>_xlfn.PERCENTOF(K5,$K$17)</f>
        <v>9.0909090909090912E-2</v>
      </c>
      <c r="M5" s="7" t="s">
        <v>49</v>
      </c>
      <c r="N5" s="8">
        <f>COUNTIF(all_answers!I:I, Results!M5)</f>
        <v>6</v>
      </c>
      <c r="O5" s="24">
        <f>_xlfn.PERCENTOF(N5, $N$6)</f>
        <v>0.13636363636363635</v>
      </c>
      <c r="P5" s="18"/>
      <c r="S5" s="7" t="s">
        <v>95</v>
      </c>
      <c r="T5" s="8">
        <f>COUNTIF(all_answers!L:L, all_answers!L12)</f>
        <v>1</v>
      </c>
      <c r="U5" s="24">
        <f t="shared" si="2"/>
        <v>2.2222222222222223E-2</v>
      </c>
      <c r="V5" s="6" t="s">
        <v>420</v>
      </c>
      <c r="W5" s="8">
        <f>COUNTIF(all_answers!M:M, all_answers!M34)</f>
        <v>4</v>
      </c>
      <c r="X5" s="24">
        <f t="shared" si="3"/>
        <v>9.0909090909090912E-2</v>
      </c>
      <c r="Y5" s="31" t="s">
        <v>144</v>
      </c>
      <c r="Z5" s="8">
        <f>COUNTIF(all_answers!O:O, "*correspondence (written and oral)*")</f>
        <v>5</v>
      </c>
      <c r="AA5" s="24">
        <f t="shared" si="4"/>
        <v>9.0909090909090912E-2</v>
      </c>
      <c r="AB5" s="7" t="s">
        <v>421</v>
      </c>
      <c r="AC5" s="8">
        <f>COUNTIF(all_answers!Q:Q, "*letters (formal and informal)*")</f>
        <v>5</v>
      </c>
      <c r="AD5" s="24">
        <f t="shared" si="0"/>
        <v>9.2592592592592587E-2</v>
      </c>
      <c r="AE5" s="6" t="s">
        <v>280</v>
      </c>
      <c r="AF5" s="8">
        <f>COUNTIF(all_answers!S:S, "*revision*")</f>
        <v>4</v>
      </c>
      <c r="AG5" s="24">
        <f t="shared" si="5"/>
        <v>8.5106382978723402E-2</v>
      </c>
      <c r="AH5" s="6" t="s">
        <v>351</v>
      </c>
      <c r="AI5" s="8">
        <f>COUNTIF(all_answers!U:U, "*Verify translation*")</f>
        <v>3</v>
      </c>
      <c r="AJ5" s="24">
        <f t="shared" si="1"/>
        <v>5.6603773584905662E-2</v>
      </c>
    </row>
    <row r="6" spans="1:41" ht="55.5" customHeight="1">
      <c r="D6" s="6" t="s">
        <v>264</v>
      </c>
      <c r="E6" s="8">
        <f>COUNTIF(all_answers!E:E, D6)</f>
        <v>2</v>
      </c>
      <c r="F6" s="24">
        <f>_xlfn.PERCENTOF(E6,$E$7)</f>
        <v>4.5454545454545456E-2</v>
      </c>
      <c r="J6" s="7" t="s">
        <v>85</v>
      </c>
      <c r="K6" s="8">
        <f>COUNTIF(all_answers!H:H, J6)</f>
        <v>3</v>
      </c>
      <c r="L6" s="24">
        <f>_xlfn.PERCENTOF(K6,$K$17)</f>
        <v>6.8181818181818177E-2</v>
      </c>
      <c r="M6" s="22" t="s">
        <v>415</v>
      </c>
      <c r="N6" s="8">
        <f>SUM(N2:N5)</f>
        <v>44</v>
      </c>
      <c r="S6" s="7" t="s">
        <v>248</v>
      </c>
      <c r="T6" s="8">
        <f>COUNTIF(all_answers!L:L, all_answers!L29)</f>
        <v>1</v>
      </c>
      <c r="U6" s="24">
        <f t="shared" si="2"/>
        <v>2.2222222222222223E-2</v>
      </c>
      <c r="V6" s="6" t="s">
        <v>422</v>
      </c>
      <c r="W6" s="8">
        <f>COUNTIF(all_answers!M:M, all_answers!M21)</f>
        <v>3</v>
      </c>
      <c r="X6" s="24">
        <f t="shared" si="3"/>
        <v>6.8181818181818177E-2</v>
      </c>
      <c r="Y6" s="31" t="s">
        <v>230</v>
      </c>
      <c r="Z6" s="8">
        <f>COUNTIF(all_answers!O:O, "*economic*")</f>
        <v>3</v>
      </c>
      <c r="AA6" s="24">
        <f t="shared" si="4"/>
        <v>5.4545454545454543E-2</v>
      </c>
      <c r="AB6" s="7" t="s">
        <v>423</v>
      </c>
      <c r="AC6" s="8">
        <f>COUNTIF(all_answers!Q:Q, "*legal/economic*")</f>
        <v>4</v>
      </c>
      <c r="AD6" s="24">
        <f t="shared" si="0"/>
        <v>7.407407407407407E-2</v>
      </c>
      <c r="AE6" s="7" t="s">
        <v>215</v>
      </c>
      <c r="AF6" s="8">
        <f>COUNTIF(all_answers!S:S, "*speed*")</f>
        <v>3</v>
      </c>
      <c r="AG6" s="24">
        <f t="shared" si="5"/>
        <v>6.3829787234042548E-2</v>
      </c>
      <c r="AH6" s="6" t="s">
        <v>333</v>
      </c>
      <c r="AI6" s="8">
        <f>COUNTIF(all_answers!U:U, "*Style and tone*")</f>
        <v>2</v>
      </c>
      <c r="AJ6" s="24">
        <f t="shared" si="1"/>
        <v>3.7735849056603772E-2</v>
      </c>
    </row>
    <row r="7" spans="1:41" ht="55.5" customHeight="1">
      <c r="D7" s="22" t="s">
        <v>415</v>
      </c>
      <c r="E7" s="8">
        <f>SUM(E2:E6)</f>
        <v>44</v>
      </c>
      <c r="J7" s="7" t="s">
        <v>26</v>
      </c>
      <c r="K7" s="8">
        <f>COUNTIF(all_answers!H:H, J7)</f>
        <v>3</v>
      </c>
      <c r="L7" s="24">
        <f>_xlfn.PERCENTOF(K7,$K$17)</f>
        <v>6.8181818181818177E-2</v>
      </c>
      <c r="N7" s="19"/>
      <c r="O7" s="24"/>
      <c r="S7" s="22" t="s">
        <v>415</v>
      </c>
      <c r="T7" s="8">
        <f>SUM(T2:T6)</f>
        <v>45</v>
      </c>
      <c r="U7" s="24"/>
      <c r="V7" s="6" t="s">
        <v>424</v>
      </c>
      <c r="W7" s="8">
        <f>COUNTIF(all_answers!M:M, all_answers!M36)</f>
        <v>1</v>
      </c>
      <c r="X7" s="24">
        <f t="shared" si="3"/>
        <v>2.2727272727272728E-2</v>
      </c>
      <c r="Y7" s="31" t="s">
        <v>425</v>
      </c>
      <c r="Z7" s="8">
        <f>COUNTIF(all_answers!O:O, "*education*")</f>
        <v>3</v>
      </c>
      <c r="AA7" s="24">
        <f t="shared" si="4"/>
        <v>5.4545454545454543E-2</v>
      </c>
      <c r="AB7" s="7" t="s">
        <v>426</v>
      </c>
      <c r="AC7" s="8">
        <f>COUNTIF(all_answers!Q:Q, "*none*")</f>
        <v>3</v>
      </c>
      <c r="AD7" s="24">
        <f t="shared" si="0"/>
        <v>5.5555555555555552E-2</v>
      </c>
      <c r="AE7" s="7" t="s">
        <v>114</v>
      </c>
      <c r="AF7" s="8">
        <f>COUNTIF(all_answers!S:S, "*terminology*")</f>
        <v>2</v>
      </c>
      <c r="AG7" s="24">
        <f t="shared" si="5"/>
        <v>4.2553191489361701E-2</v>
      </c>
      <c r="AH7" s="6" t="s">
        <v>427</v>
      </c>
      <c r="AI7" s="8">
        <f>COUNTIF(all_answers!U:U, "*literal translation*")</f>
        <v>2</v>
      </c>
      <c r="AJ7" s="24">
        <f t="shared" si="1"/>
        <v>3.7735849056603772E-2</v>
      </c>
    </row>
    <row r="8" spans="1:41" ht="55.5" customHeight="1">
      <c r="J8" s="7" t="s">
        <v>266</v>
      </c>
      <c r="K8" s="8">
        <f>COUNTIF(all_answers!H:H, J8)</f>
        <v>3</v>
      </c>
      <c r="L8" s="24">
        <f>_xlfn.PERCENTOF(K8,$K$17)</f>
        <v>6.8181818181818177E-2</v>
      </c>
      <c r="N8" s="19"/>
      <c r="O8" s="24"/>
      <c r="T8" s="9" t="s">
        <v>428</v>
      </c>
      <c r="U8" s="24"/>
      <c r="V8" s="22" t="s">
        <v>415</v>
      </c>
      <c r="W8" s="8">
        <f>SUM(W2:W7)</f>
        <v>44</v>
      </c>
      <c r="X8" s="24"/>
      <c r="Y8" s="31" t="s">
        <v>221</v>
      </c>
      <c r="Z8" s="8">
        <f>COUNTIF(all_answers!O:O, "*scientific*")</f>
        <v>3</v>
      </c>
      <c r="AA8" s="24">
        <f t="shared" si="4"/>
        <v>5.4545454545454543E-2</v>
      </c>
      <c r="AB8" s="7" t="s">
        <v>295</v>
      </c>
      <c r="AC8" s="8">
        <f>COUNTIF(all_answers!Q:Q, "*graphical*")</f>
        <v>2</v>
      </c>
      <c r="AD8" s="24">
        <f t="shared" si="0"/>
        <v>3.7037037037037035E-2</v>
      </c>
      <c r="AE8" s="7" t="s">
        <v>261</v>
      </c>
      <c r="AF8" s="8">
        <f>COUNTIF(all_answers!S:S, "*generation/information*")</f>
        <v>1</v>
      </c>
      <c r="AG8" s="24">
        <f t="shared" si="5"/>
        <v>2.1276595744680851E-2</v>
      </c>
      <c r="AH8" s="6" t="s">
        <v>198</v>
      </c>
      <c r="AI8" s="8">
        <f>COUNTIF(all_answers!U:U, "*Untranslated*")</f>
        <v>1</v>
      </c>
      <c r="AJ8" s="24">
        <f t="shared" si="1"/>
        <v>1.8867924528301886E-2</v>
      </c>
    </row>
    <row r="9" spans="1:41" ht="55.5" customHeight="1">
      <c r="J9" s="6" t="s">
        <v>274</v>
      </c>
      <c r="K9" s="8">
        <f>COUNTIF(all_answers!H:H,J9)</f>
        <v>3</v>
      </c>
      <c r="L9" s="24">
        <f>_xlfn.PERCENTOF(K9,$K$17)</f>
        <v>6.8181818181818177E-2</v>
      </c>
      <c r="X9" s="24"/>
      <c r="Y9" s="31" t="s">
        <v>293</v>
      </c>
      <c r="Z9" s="8">
        <f>COUNTIF(all_answers!O:O, "*technical*")</f>
        <v>3</v>
      </c>
      <c r="AA9" s="24">
        <f t="shared" si="4"/>
        <v>5.4545454545454543E-2</v>
      </c>
      <c r="AB9" s="7" t="s">
        <v>48</v>
      </c>
      <c r="AC9" s="8">
        <f>COUNTIF(all_answers!Q:Q, "*education*")</f>
        <v>2</v>
      </c>
      <c r="AD9" s="24">
        <f t="shared" si="0"/>
        <v>3.7037037037037035E-2</v>
      </c>
      <c r="AE9" s="6" t="s">
        <v>358</v>
      </c>
      <c r="AF9" s="8">
        <f>COUNTIF(all_answers!S:S, "*writing support*")</f>
        <v>1</v>
      </c>
      <c r="AG9" s="24">
        <f t="shared" si="5"/>
        <v>2.1276595744680851E-2</v>
      </c>
      <c r="AH9" s="6" t="s">
        <v>254</v>
      </c>
      <c r="AI9" s="8">
        <f>COUNTIF(all_answers!U:U, "*Context*")</f>
        <v>1</v>
      </c>
      <c r="AJ9" s="24">
        <f t="shared" si="1"/>
        <v>1.8867924528301886E-2</v>
      </c>
    </row>
    <row r="10" spans="1:41" ht="55.5" customHeight="1">
      <c r="J10" s="7" t="s">
        <v>67</v>
      </c>
      <c r="K10" s="8">
        <f>COUNTIF(all_answers!H:H, J10)</f>
        <v>2</v>
      </c>
      <c r="L10" s="24">
        <f>_xlfn.PERCENTOF(K10,$K$17)</f>
        <v>4.5454545454545456E-2</v>
      </c>
      <c r="Y10" s="31" t="s">
        <v>426</v>
      </c>
      <c r="Z10" s="8">
        <f>COUNTIF(all_answers!O:O, "*none*")</f>
        <v>13</v>
      </c>
      <c r="AA10" s="24">
        <f t="shared" si="4"/>
        <v>0.23636363636363636</v>
      </c>
      <c r="AB10" s="7" t="s">
        <v>259</v>
      </c>
      <c r="AC10" s="8">
        <f>COUNTIF(all_answers!Q:Q, "*all*")</f>
        <v>2</v>
      </c>
      <c r="AD10" s="24">
        <f t="shared" si="0"/>
        <v>3.7037037037037035E-2</v>
      </c>
      <c r="AE10" s="6" t="s">
        <v>32</v>
      </c>
      <c r="AF10" s="8">
        <f>COUNTIF(all_answers!S:S, "*none*")</f>
        <v>12</v>
      </c>
      <c r="AG10" s="24">
        <f t="shared" si="5"/>
        <v>0.25531914893617019</v>
      </c>
      <c r="AH10" s="6" t="s">
        <v>360</v>
      </c>
      <c r="AI10" s="8">
        <f>COUNTIF(all_answers!U:U, "*internet connection*")</f>
        <v>1</v>
      </c>
      <c r="AJ10" s="24">
        <f t="shared" si="1"/>
        <v>1.8867924528301886E-2</v>
      </c>
    </row>
    <row r="11" spans="1:41" ht="55.5" customHeight="1">
      <c r="J11" s="7" t="s">
        <v>107</v>
      </c>
      <c r="K11" s="8">
        <f>COUNTIF(all_answers!H:H, J11)</f>
        <v>2</v>
      </c>
      <c r="L11" s="24">
        <f>_xlfn.PERCENTOF(K11,$K$17)</f>
        <v>4.5454545454545456E-2</v>
      </c>
      <c r="Y11" s="22" t="s">
        <v>415</v>
      </c>
      <c r="Z11" s="8">
        <f>SUM(Z2:Z10)</f>
        <v>55</v>
      </c>
      <c r="AB11" s="22" t="s">
        <v>415</v>
      </c>
      <c r="AC11" s="8">
        <f>SUM(AC2:AC10)</f>
        <v>54</v>
      </c>
      <c r="AD11" s="24"/>
      <c r="AE11" s="22" t="s">
        <v>415</v>
      </c>
      <c r="AF11" s="8">
        <f>SUM(AF2:AF10)</f>
        <v>47</v>
      </c>
      <c r="AH11" s="6" t="s">
        <v>429</v>
      </c>
      <c r="AI11" s="8">
        <f>COUNTIF(all_answers!U:U, "*free tools*")</f>
        <v>1</v>
      </c>
      <c r="AJ11" s="24">
        <f t="shared" si="1"/>
        <v>1.8867924528301886E-2</v>
      </c>
    </row>
    <row r="12" spans="1:41" ht="57.75">
      <c r="J12" s="7" t="s">
        <v>78</v>
      </c>
      <c r="K12" s="8">
        <f>COUNTIF(all_answers!H:H, J12)</f>
        <v>1</v>
      </c>
      <c r="L12" s="24">
        <f>_xlfn.PERCENTOF(K12,$K$17)</f>
        <v>2.2727272727272728E-2</v>
      </c>
      <c r="Z12" s="9" t="s">
        <v>430</v>
      </c>
      <c r="AA12" s="24"/>
      <c r="AB12" s="4"/>
      <c r="AC12" s="9" t="s">
        <v>430</v>
      </c>
      <c r="AF12" s="9" t="s">
        <v>430</v>
      </c>
      <c r="AG12" s="24"/>
      <c r="AH12" s="6" t="s">
        <v>431</v>
      </c>
      <c r="AI12" s="8">
        <f>COUNTIF(all_answers!U:U, "*low quality*")</f>
        <v>1</v>
      </c>
      <c r="AJ12" s="24">
        <f t="shared" si="1"/>
        <v>1.8867924528301886E-2</v>
      </c>
    </row>
    <row r="13" spans="1:41" ht="30" customHeight="1">
      <c r="J13" s="7" t="s">
        <v>99</v>
      </c>
      <c r="K13" s="8">
        <f>COUNTIF(all_answers!H:H, J13)</f>
        <v>1</v>
      </c>
      <c r="L13" s="24">
        <f>_xlfn.PERCENTOF(K13,$K$17)</f>
        <v>2.2727272727272728E-2</v>
      </c>
      <c r="Z13" s="19"/>
      <c r="AA13" s="24"/>
      <c r="AD13" s="24"/>
      <c r="AE13" s="4"/>
      <c r="AG13" s="24"/>
      <c r="AH13" s="6" t="s">
        <v>432</v>
      </c>
      <c r="AI13" s="8">
        <f>COUNTIF(all_answers!U:U, "*Don't know*")</f>
        <v>2</v>
      </c>
      <c r="AJ13" s="24">
        <f t="shared" si="1"/>
        <v>3.7735849056603772E-2</v>
      </c>
    </row>
    <row r="14" spans="1:41" ht="30" customHeight="1">
      <c r="J14" s="7" t="s">
        <v>212</v>
      </c>
      <c r="K14" s="8">
        <f>COUNTIF(all_answers!H:H, J14)</f>
        <v>1</v>
      </c>
      <c r="L14" s="24">
        <f>_xlfn.PERCENTOF(K14,$K$17)</f>
        <v>2.2727272727272728E-2</v>
      </c>
      <c r="Z14" s="19"/>
      <c r="AA14" s="24"/>
      <c r="AB14" s="4"/>
      <c r="AC14" s="19"/>
      <c r="AD14" s="24"/>
      <c r="AE14" s="4"/>
      <c r="AF14" s="19"/>
      <c r="AG14" s="24"/>
      <c r="AH14" s="6" t="s">
        <v>32</v>
      </c>
      <c r="AI14" s="8">
        <f>COUNTIF(all_answers!U:U, "*none*")</f>
        <v>15</v>
      </c>
      <c r="AJ14" s="24">
        <f t="shared" si="1"/>
        <v>0.28301886792452829</v>
      </c>
    </row>
    <row r="15" spans="1:41">
      <c r="J15" s="6" t="s">
        <v>353</v>
      </c>
      <c r="K15" s="8">
        <f>COUNTIF(all_answers!H:H, J15)</f>
        <v>1</v>
      </c>
      <c r="L15" s="24">
        <f>_xlfn.PERCENTOF(K15,$K$17)</f>
        <v>2.2727272727272728E-2</v>
      </c>
      <c r="Z15" s="19"/>
      <c r="AA15" s="24"/>
      <c r="AB15" s="4"/>
      <c r="AC15" s="19"/>
      <c r="AD15" s="24"/>
      <c r="AE15" s="4"/>
      <c r="AF15" s="19"/>
      <c r="AG15" s="24"/>
      <c r="AH15" s="6" t="s">
        <v>125</v>
      </c>
      <c r="AI15" s="8">
        <f>COUNTIF(all_answers!U:U, "*Don't use*")</f>
        <v>5</v>
      </c>
      <c r="AJ15" s="24">
        <f t="shared" si="1"/>
        <v>9.4339622641509441E-2</v>
      </c>
    </row>
    <row r="16" spans="1:41">
      <c r="J16" s="6" t="s">
        <v>381</v>
      </c>
      <c r="K16" s="8">
        <f>COUNTIF(all_answers!H:H, J16)</f>
        <v>1</v>
      </c>
      <c r="L16" s="24">
        <f>_xlfn.PERCENTOF(K16,$K$17)</f>
        <v>2.2727272727272728E-2</v>
      </c>
      <c r="AB16" s="4"/>
      <c r="AC16" s="32"/>
      <c r="AD16" s="33"/>
      <c r="AE16" s="4"/>
      <c r="AF16" s="19"/>
      <c r="AG16" s="24"/>
      <c r="AH16" s="22" t="s">
        <v>415</v>
      </c>
      <c r="AI16" s="8">
        <f>SUM(AI2:AI15)</f>
        <v>53</v>
      </c>
    </row>
    <row r="17" spans="10:36" ht="57.75">
      <c r="J17" s="22" t="s">
        <v>415</v>
      </c>
      <c r="K17" s="8">
        <f>SUM(K2:K16)</f>
        <v>44</v>
      </c>
      <c r="AB17" s="4"/>
      <c r="AC17" s="19"/>
      <c r="AD17" s="24"/>
      <c r="AE17" s="4"/>
      <c r="AF17" s="19"/>
      <c r="AG17" s="24"/>
      <c r="AH17" s="4"/>
      <c r="AI17" s="9" t="s">
        <v>430</v>
      </c>
    </row>
    <row r="18" spans="10:36">
      <c r="AE18" s="4"/>
    </row>
    <row r="19" spans="10:36" ht="101.25">
      <c r="AE19" s="20" t="s">
        <v>433</v>
      </c>
      <c r="AF19" s="8">
        <f>SUM(AF11-AF10-AF4)</f>
        <v>29</v>
      </c>
      <c r="AH19" s="20" t="s">
        <v>434</v>
      </c>
      <c r="AI19" s="8">
        <f>SUM(AI16-AI13-AI15-AI14)</f>
        <v>31</v>
      </c>
    </row>
    <row r="20" spans="10:36" ht="57.75">
      <c r="U20" s="25"/>
      <c r="AA20" s="25"/>
      <c r="AC20" s="9"/>
      <c r="AD20" s="25"/>
      <c r="AE20" s="20" t="s">
        <v>148</v>
      </c>
      <c r="AF20" s="19"/>
      <c r="AG20" s="24">
        <f>_xlfn.PERCENTOF(AF2, $AF$19)</f>
        <v>0.31034482758620691</v>
      </c>
      <c r="AH20" s="20" t="s">
        <v>208</v>
      </c>
      <c r="AI20" s="19"/>
      <c r="AJ20" s="24">
        <f>_xlfn.PERCENTOF(AI2, $AI$19)</f>
        <v>0.29032258064516131</v>
      </c>
    </row>
    <row r="21" spans="10:36" ht="57.75">
      <c r="AE21" s="20" t="s">
        <v>136</v>
      </c>
      <c r="AF21" s="19"/>
      <c r="AG21" s="24">
        <f>_xlfn.PERCENTOF(AF3, $AF$19)</f>
        <v>0.31034482758620691</v>
      </c>
      <c r="AH21" s="20" t="s">
        <v>136</v>
      </c>
      <c r="AI21" s="19"/>
      <c r="AJ21" s="24">
        <f t="shared" ref="AJ21:AJ30" si="6">_xlfn.PERCENTOF(AI3, $AI$19)</f>
        <v>0.16129032258064516</v>
      </c>
    </row>
    <row r="22" spans="10:36" ht="29.25">
      <c r="AE22" s="20" t="s">
        <v>114</v>
      </c>
      <c r="AG22" s="24">
        <f>_xlfn.PERCENTOF(AF7, $AF$19)</f>
        <v>6.8965517241379309E-2</v>
      </c>
      <c r="AH22" s="20" t="s">
        <v>418</v>
      </c>
      <c r="AI22" s="19"/>
      <c r="AJ22" s="24">
        <f t="shared" si="6"/>
        <v>0.16129032258064516</v>
      </c>
    </row>
    <row r="23" spans="10:36" ht="43.5">
      <c r="AE23" s="20" t="s">
        <v>280</v>
      </c>
      <c r="AF23" s="19"/>
      <c r="AG23" s="24">
        <f>_xlfn.PERCENTOF(AF5, $AF$19)</f>
        <v>0.13793103448275862</v>
      </c>
      <c r="AH23" s="20" t="s">
        <v>351</v>
      </c>
      <c r="AI23" s="19"/>
      <c r="AJ23" s="24">
        <f t="shared" si="6"/>
        <v>9.6774193548387094E-2</v>
      </c>
    </row>
    <row r="24" spans="10:36" ht="29.25">
      <c r="AE24" s="20" t="s">
        <v>215</v>
      </c>
      <c r="AF24" s="19"/>
      <c r="AG24" s="24">
        <f>_xlfn.PERCENTOF(AF6, $AF$19)</f>
        <v>0.10344827586206896</v>
      </c>
      <c r="AH24" s="20" t="s">
        <v>333</v>
      </c>
      <c r="AI24" s="19"/>
      <c r="AJ24" s="24">
        <f t="shared" si="6"/>
        <v>6.4516129032258063E-2</v>
      </c>
    </row>
    <row r="25" spans="10:36" ht="89.25" customHeight="1">
      <c r="AE25" s="20" t="s">
        <v>261</v>
      </c>
      <c r="AG25" s="24">
        <f>_xlfn.PERCENTOF(AF8, $AF$19)</f>
        <v>3.4482758620689655E-2</v>
      </c>
      <c r="AH25" s="20" t="s">
        <v>427</v>
      </c>
      <c r="AJ25" s="24">
        <f t="shared" si="6"/>
        <v>6.4516129032258063E-2</v>
      </c>
    </row>
    <row r="26" spans="10:36" ht="29.25">
      <c r="K26" s="19"/>
      <c r="L26" s="24"/>
      <c r="AE26" s="20" t="s">
        <v>358</v>
      </c>
      <c r="AG26" s="24">
        <f>_xlfn.PERCENTOF(AF9, $AF$19)</f>
        <v>3.4482758620689655E-2</v>
      </c>
      <c r="AH26" s="20" t="s">
        <v>198</v>
      </c>
      <c r="AJ26" s="24">
        <f t="shared" si="6"/>
        <v>3.2258064516129031E-2</v>
      </c>
    </row>
    <row r="27" spans="10:36">
      <c r="K27" s="19"/>
      <c r="L27" s="24"/>
      <c r="AH27" s="20" t="s">
        <v>254</v>
      </c>
      <c r="AJ27" s="24">
        <f t="shared" si="6"/>
        <v>3.2258064516129031E-2</v>
      </c>
    </row>
    <row r="28" spans="10:36" ht="43.5">
      <c r="K28" s="19"/>
      <c r="L28" s="24"/>
      <c r="AH28" s="20" t="s">
        <v>360</v>
      </c>
      <c r="AJ28" s="24">
        <f t="shared" si="6"/>
        <v>3.2258064516129031E-2</v>
      </c>
    </row>
    <row r="29" spans="10:36">
      <c r="AH29" s="20" t="s">
        <v>429</v>
      </c>
      <c r="AJ29" s="24">
        <f t="shared" si="6"/>
        <v>3.2258064516129031E-2</v>
      </c>
    </row>
    <row r="30" spans="10:36" ht="29.25">
      <c r="AH30" s="20" t="s">
        <v>431</v>
      </c>
      <c r="AJ30" s="24">
        <f t="shared" si="6"/>
        <v>3.2258064516129031E-2</v>
      </c>
    </row>
  </sheetData>
  <sortState xmlns:xlrd2="http://schemas.microsoft.com/office/spreadsheetml/2017/richdata2" ref="G2:I3">
    <sortCondition descending="1" ref="H2:H3"/>
  </sortState>
  <dataValidations count="2">
    <dataValidation allowBlank="1" showInputMessage="1" showErrorMessage="1" sqref="J1" xr:uid="{3B8486E9-41A3-49EE-90B4-FA4581D57BCF}"/>
    <dataValidation allowBlank="1" showInputMessage="1" showErrorMessage="1" promptTitle="Health Infrastructures (transports) Environment Administration (demograhic services) Education Law Economics Culture Defense Foreign affairs Social policies (labour, sports, public affairs); Space; IT" sqref="J2:J13" xr:uid="{A89B33F8-752B-45DA-979C-7E253F1FB948}"/>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Giada Pantana</cp:lastModifiedBy>
  <cp:revision/>
  <dcterms:created xsi:type="dcterms:W3CDTF">2025-11-13T11:12:59Z</dcterms:created>
  <dcterms:modified xsi:type="dcterms:W3CDTF">2026-01-28T16:58:58Z</dcterms:modified>
  <cp:category/>
  <cp:contentStatus/>
</cp:coreProperties>
</file>